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tm-marketing/Downloads/"/>
    </mc:Choice>
  </mc:AlternateContent>
  <xr:revisionPtr revIDLastSave="0" documentId="8_{F30FA07C-4870-2547-8A40-04AB3540D04F}" xr6:coauthVersionLast="47" xr6:coauthVersionMax="47" xr10:uidLastSave="{00000000-0000-0000-0000-000000000000}"/>
  <bookViews>
    <workbookView xWindow="0" yWindow="760" windowWidth="29080" windowHeight="18440" tabRatio="500" activeTab="2" xr2:uid="{00000000-000D-0000-FFFF-FFFF00000000}"/>
  </bookViews>
  <sheets>
    <sheet name="Setup &amp; Assumptions" sheetId="1" r:id="rId1"/>
    <sheet name="AM Organic KPIs" sheetId="2" r:id="rId2"/>
    <sheet name="Media Buyer Paid KPIs" sheetId="3" r:id="rId3"/>
    <sheet name="Creative Team KPIs" sheetId="4" r:id="rId4"/>
    <sheet name="Events &amp; Sponsorship KPIs" sheetId="5" r:id="rId5"/>
    <sheet name="Sales &amp; Commission" sheetId="6" r:id="rId6"/>
    <sheet name="Commission Summary" sheetId="7" r:id="rId7"/>
    <sheet name="Q3 Plans &amp; Roadmap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X37" i="2" l="1"/>
  <c r="BA37" i="2" s="1"/>
  <c r="BD37" i="2" s="1"/>
  <c r="BF37" i="2" s="1"/>
  <c r="AP37" i="2"/>
  <c r="AM37" i="2"/>
  <c r="AO37" i="2" s="1"/>
  <c r="AD37" i="2"/>
  <c r="AB37" i="2"/>
  <c r="AE37" i="2" s="1"/>
  <c r="AG37" i="2" s="1"/>
  <c r="Q37" i="2"/>
  <c r="K37" i="2"/>
  <c r="I37" i="2"/>
  <c r="L37" i="2" s="1"/>
  <c r="N37" i="2" s="1"/>
  <c r="F37" i="2"/>
  <c r="H37" i="2" s="1"/>
  <c r="O37" i="2" s="1"/>
  <c r="AX36" i="2"/>
  <c r="BA36" i="2" s="1"/>
  <c r="BD36" i="2" s="1"/>
  <c r="BF36" i="2" s="1"/>
  <c r="AP36" i="2"/>
  <c r="AS36" i="2" s="1"/>
  <c r="AU36" i="2" s="1"/>
  <c r="AM36" i="2"/>
  <c r="AO36" i="2" s="1"/>
  <c r="AE36" i="2"/>
  <c r="AG36" i="2" s="1"/>
  <c r="AD36" i="2"/>
  <c r="AB36" i="2"/>
  <c r="W36" i="2"/>
  <c r="Y36" i="2" s="1"/>
  <c r="V36" i="2"/>
  <c r="S36" i="2"/>
  <c r="Q36" i="2"/>
  <c r="T36" i="2" s="1"/>
  <c r="F36" i="2"/>
  <c r="H36" i="2" s="1"/>
  <c r="BD35" i="2"/>
  <c r="BF35" i="2" s="1"/>
  <c r="BC35" i="2"/>
  <c r="AX35" i="2"/>
  <c r="BA35" i="2" s="1"/>
  <c r="AP35" i="2"/>
  <c r="AS35" i="2" s="1"/>
  <c r="AU35" i="2" s="1"/>
  <c r="AM35" i="2"/>
  <c r="AO35" i="2" s="1"/>
  <c r="AJ35" i="2"/>
  <c r="AH35" i="2"/>
  <c r="AE35" i="2"/>
  <c r="AG35" i="2" s="1"/>
  <c r="AD35" i="2"/>
  <c r="AB35" i="2"/>
  <c r="W35" i="2"/>
  <c r="Y35" i="2" s="1"/>
  <c r="V35" i="2"/>
  <c r="S35" i="2"/>
  <c r="Z35" i="2" s="1"/>
  <c r="Q35" i="2"/>
  <c r="T35" i="2" s="1"/>
  <c r="I35" i="2"/>
  <c r="L35" i="2" s="1"/>
  <c r="N35" i="2" s="1"/>
  <c r="F35" i="2"/>
  <c r="H35" i="2" s="1"/>
  <c r="BD34" i="2"/>
  <c r="BF34" i="2" s="1"/>
  <c r="BC34" i="2"/>
  <c r="AX34" i="2"/>
  <c r="BA34" i="2" s="1"/>
  <c r="AP34" i="2"/>
  <c r="AS34" i="2" s="1"/>
  <c r="AU34" i="2" s="1"/>
  <c r="AM34" i="2"/>
  <c r="AO34" i="2" s="1"/>
  <c r="AJ34" i="2"/>
  <c r="AH34" i="2"/>
  <c r="AE34" i="2"/>
  <c r="AG34" i="2" s="1"/>
  <c r="AD34" i="2"/>
  <c r="AB34" i="2"/>
  <c r="Q34" i="2"/>
  <c r="T34" i="2" s="1"/>
  <c r="V34" i="2" s="1"/>
  <c r="I34" i="2"/>
  <c r="L34" i="2" s="1"/>
  <c r="N34" i="2" s="1"/>
  <c r="F34" i="2"/>
  <c r="H34" i="2" s="1"/>
  <c r="AX33" i="2"/>
  <c r="AP33" i="2"/>
  <c r="AS33" i="2" s="1"/>
  <c r="AU33" i="2" s="1"/>
  <c r="AM33" i="2"/>
  <c r="AO33" i="2" s="1"/>
  <c r="AH33" i="2"/>
  <c r="AJ33" i="2" s="1"/>
  <c r="AE33" i="2"/>
  <c r="AG33" i="2" s="1"/>
  <c r="AD33" i="2"/>
  <c r="AK33" i="2" s="1"/>
  <c r="BJ33" i="2" s="1"/>
  <c r="AB33" i="2"/>
  <c r="W33" i="2"/>
  <c r="Y33" i="2" s="1"/>
  <c r="Q33" i="2"/>
  <c r="T33" i="2" s="1"/>
  <c r="V33" i="2" s="1"/>
  <c r="F33" i="2"/>
  <c r="H33" i="2" s="1"/>
  <c r="AX32" i="2"/>
  <c r="AU32" i="2"/>
  <c r="AV32" i="2" s="1"/>
  <c r="AR32" i="2"/>
  <c r="AP32" i="2"/>
  <c r="AS32" i="2" s="1"/>
  <c r="AM32" i="2"/>
  <c r="AO32" i="2" s="1"/>
  <c r="AE32" i="2"/>
  <c r="AG32" i="2" s="1"/>
  <c r="AD32" i="2"/>
  <c r="AB32" i="2"/>
  <c r="Q32" i="2"/>
  <c r="T32" i="2" s="1"/>
  <c r="W32" i="2" s="1"/>
  <c r="Y32" i="2" s="1"/>
  <c r="L32" i="2"/>
  <c r="N32" i="2" s="1"/>
  <c r="K32" i="2"/>
  <c r="I32" i="2"/>
  <c r="F32" i="2"/>
  <c r="H32" i="2" s="1"/>
  <c r="AX31" i="2"/>
  <c r="AU31" i="2"/>
  <c r="AR31" i="2"/>
  <c r="AP31" i="2"/>
  <c r="AS31" i="2" s="1"/>
  <c r="AM31" i="2"/>
  <c r="AO31" i="2" s="1"/>
  <c r="AV31" i="2" s="1"/>
  <c r="AJ31" i="2"/>
  <c r="AK31" i="2" s="1"/>
  <c r="BJ31" i="2" s="1"/>
  <c r="AH31" i="2"/>
  <c r="AE31" i="2"/>
  <c r="AG31" i="2" s="1"/>
  <c r="AD31" i="2"/>
  <c r="AB31" i="2"/>
  <c r="W31" i="2"/>
  <c r="Y31" i="2" s="1"/>
  <c r="V31" i="2"/>
  <c r="S31" i="2"/>
  <c r="Q31" i="2"/>
  <c r="T31" i="2" s="1"/>
  <c r="K31" i="2"/>
  <c r="I31" i="2"/>
  <c r="L31" i="2" s="1"/>
  <c r="N31" i="2" s="1"/>
  <c r="F31" i="2"/>
  <c r="H31" i="2" s="1"/>
  <c r="AX30" i="2"/>
  <c r="AP30" i="2"/>
  <c r="AS30" i="2" s="1"/>
  <c r="AU30" i="2" s="1"/>
  <c r="AM30" i="2"/>
  <c r="AO30" i="2" s="1"/>
  <c r="AE30" i="2"/>
  <c r="AG30" i="2" s="1"/>
  <c r="AD30" i="2"/>
  <c r="AB30" i="2"/>
  <c r="S30" i="2"/>
  <c r="Q30" i="2"/>
  <c r="T30" i="2" s="1"/>
  <c r="W30" i="2" s="1"/>
  <c r="Y30" i="2" s="1"/>
  <c r="F30" i="2"/>
  <c r="H30" i="2" s="1"/>
  <c r="AX29" i="2"/>
  <c r="AP29" i="2"/>
  <c r="AS29" i="2" s="1"/>
  <c r="AU29" i="2" s="1"/>
  <c r="AM29" i="2"/>
  <c r="AO29" i="2" s="1"/>
  <c r="AE29" i="2"/>
  <c r="AG29" i="2" s="1"/>
  <c r="AD29" i="2"/>
  <c r="AB29" i="2"/>
  <c r="Q29" i="2"/>
  <c r="T29" i="2" s="1"/>
  <c r="W29" i="2" s="1"/>
  <c r="Y29" i="2" s="1"/>
  <c r="F29" i="2"/>
  <c r="H29" i="2" s="1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16" i="6"/>
  <c r="C16" i="6"/>
  <c r="G15" i="6"/>
  <c r="E15" i="6"/>
  <c r="F15" i="6" s="1"/>
  <c r="H15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F10" i="6"/>
  <c r="E10" i="6"/>
  <c r="G9" i="6"/>
  <c r="E9" i="6"/>
  <c r="F9" i="6" s="1"/>
  <c r="H8" i="6"/>
  <c r="G8" i="6"/>
  <c r="F8" i="6"/>
  <c r="E8" i="6"/>
  <c r="G7" i="6"/>
  <c r="E7" i="6"/>
  <c r="E16" i="6" s="1"/>
  <c r="AG8" i="5"/>
  <c r="AI8" i="5" s="1"/>
  <c r="AE8" i="5"/>
  <c r="AC8" i="5"/>
  <c r="AA8" i="5"/>
  <c r="Y8" i="5"/>
  <c r="W8" i="5"/>
  <c r="U8" i="5"/>
  <c r="Q8" i="5"/>
  <c r="S8" i="5" s="1"/>
  <c r="AK8" i="5" s="1"/>
  <c r="O8" i="5"/>
  <c r="M8" i="5"/>
  <c r="K8" i="5"/>
  <c r="I8" i="5"/>
  <c r="G8" i="5"/>
  <c r="E8" i="5"/>
  <c r="AH12" i="4"/>
  <c r="AF12" i="4"/>
  <c r="AC12" i="4"/>
  <c r="AE12" i="4" s="1"/>
  <c r="Y12" i="4"/>
  <c r="AA12" i="4" s="1"/>
  <c r="U12" i="4"/>
  <c r="W12" i="4" s="1"/>
  <c r="Q12" i="4"/>
  <c r="S12" i="4" s="1"/>
  <c r="M12" i="4"/>
  <c r="O12" i="4" s="1"/>
  <c r="I12" i="4"/>
  <c r="K12" i="4" s="1"/>
  <c r="G12" i="4"/>
  <c r="E12" i="4"/>
  <c r="AC11" i="4"/>
  <c r="AE11" i="4" s="1"/>
  <c r="AA11" i="4"/>
  <c r="Y11" i="4"/>
  <c r="W11" i="4"/>
  <c r="U11" i="4"/>
  <c r="S11" i="4"/>
  <c r="Q11" i="4"/>
  <c r="M11" i="4"/>
  <c r="O11" i="4" s="1"/>
  <c r="K11" i="4"/>
  <c r="I11" i="4"/>
  <c r="G11" i="4"/>
  <c r="E11" i="4"/>
  <c r="AC10" i="4"/>
  <c r="AE10" i="4" s="1"/>
  <c r="AH10" i="4" s="1"/>
  <c r="Y10" i="4"/>
  <c r="AA10" i="4" s="1"/>
  <c r="U10" i="4"/>
  <c r="W10" i="4" s="1"/>
  <c r="Q10" i="4"/>
  <c r="S10" i="4" s="1"/>
  <c r="AG10" i="4" s="1"/>
  <c r="M10" i="4"/>
  <c r="O10" i="4" s="1"/>
  <c r="I10" i="4"/>
  <c r="K10" i="4" s="1"/>
  <c r="E10" i="4"/>
  <c r="G10" i="4" s="1"/>
  <c r="AF10" i="4" s="1"/>
  <c r="AI10" i="4" s="1"/>
  <c r="AJ10" i="4" s="1"/>
  <c r="AE9" i="4"/>
  <c r="AC9" i="4"/>
  <c r="AA9" i="4"/>
  <c r="AH9" i="4" s="1"/>
  <c r="Y9" i="4"/>
  <c r="W9" i="4"/>
  <c r="AG9" i="4" s="1"/>
  <c r="U9" i="4"/>
  <c r="S9" i="4"/>
  <c r="Q9" i="4"/>
  <c r="O9" i="4"/>
  <c r="M9" i="4"/>
  <c r="K9" i="4"/>
  <c r="I9" i="4"/>
  <c r="G9" i="4"/>
  <c r="E9" i="4"/>
  <c r="AC8" i="4"/>
  <c r="AE8" i="4" s="1"/>
  <c r="Y8" i="4"/>
  <c r="AA8" i="4" s="1"/>
  <c r="U8" i="4"/>
  <c r="W8" i="4" s="1"/>
  <c r="Q8" i="4"/>
  <c r="S8" i="4" s="1"/>
  <c r="AG8" i="4" s="1"/>
  <c r="O8" i="4"/>
  <c r="M8" i="4"/>
  <c r="I8" i="4"/>
  <c r="K8" i="4" s="1"/>
  <c r="E8" i="4"/>
  <c r="G8" i="4" s="1"/>
  <c r="AF8" i="4" s="1"/>
  <c r="AD16" i="3"/>
  <c r="AA16" i="3"/>
  <c r="Y16" i="3"/>
  <c r="W16" i="3"/>
  <c r="U16" i="3"/>
  <c r="Q16" i="3"/>
  <c r="S16" i="3" s="1"/>
  <c r="O16" i="3"/>
  <c r="AC16" i="3" s="1"/>
  <c r="M16" i="3"/>
  <c r="K16" i="3"/>
  <c r="I16" i="3"/>
  <c r="G16" i="3"/>
  <c r="E16" i="3"/>
  <c r="Y15" i="3"/>
  <c r="AA15" i="3" s="1"/>
  <c r="U15" i="3"/>
  <c r="W15" i="3" s="1"/>
  <c r="AD15" i="3" s="1"/>
  <c r="Q15" i="3"/>
  <c r="S15" i="3" s="1"/>
  <c r="M15" i="3"/>
  <c r="O15" i="3" s="1"/>
  <c r="I15" i="3"/>
  <c r="K15" i="3" s="1"/>
  <c r="E15" i="3"/>
  <c r="G15" i="3" s="1"/>
  <c r="AB15" i="3" s="1"/>
  <c r="AA14" i="3"/>
  <c r="Y14" i="3"/>
  <c r="U14" i="3"/>
  <c r="W14" i="3" s="1"/>
  <c r="AD14" i="3" s="1"/>
  <c r="S14" i="3"/>
  <c r="AC14" i="3" s="1"/>
  <c r="Q14" i="3"/>
  <c r="O14" i="3"/>
  <c r="M14" i="3"/>
  <c r="K14" i="3"/>
  <c r="I14" i="3"/>
  <c r="E14" i="3"/>
  <c r="G14" i="3" s="1"/>
  <c r="AB14" i="3" s="1"/>
  <c r="AE14" i="3" s="1"/>
  <c r="AF14" i="3" s="1"/>
  <c r="Y13" i="3"/>
  <c r="AA13" i="3" s="1"/>
  <c r="W13" i="3"/>
  <c r="AD13" i="3" s="1"/>
  <c r="U13" i="3"/>
  <c r="Q13" i="3"/>
  <c r="S13" i="3" s="1"/>
  <c r="M13" i="3"/>
  <c r="O13" i="3" s="1"/>
  <c r="AC13" i="3" s="1"/>
  <c r="I13" i="3"/>
  <c r="K13" i="3" s="1"/>
  <c r="G13" i="3"/>
  <c r="E13" i="3"/>
  <c r="AA12" i="3"/>
  <c r="Y12" i="3"/>
  <c r="W12" i="3"/>
  <c r="U12" i="3"/>
  <c r="S12" i="3"/>
  <c r="Q12" i="3"/>
  <c r="O12" i="3"/>
  <c r="M12" i="3"/>
  <c r="K12" i="3"/>
  <c r="I12" i="3"/>
  <c r="G12" i="3"/>
  <c r="E12" i="3"/>
  <c r="Y11" i="3"/>
  <c r="AA11" i="3" s="1"/>
  <c r="AD11" i="3" s="1"/>
  <c r="U11" i="3"/>
  <c r="W11" i="3" s="1"/>
  <c r="Q11" i="3"/>
  <c r="S11" i="3" s="1"/>
  <c r="M11" i="3"/>
  <c r="O11" i="3" s="1"/>
  <c r="AC11" i="3" s="1"/>
  <c r="K11" i="3"/>
  <c r="I11" i="3"/>
  <c r="E11" i="3"/>
  <c r="G11" i="3" s="1"/>
  <c r="AB11" i="3" s="1"/>
  <c r="AA10" i="3"/>
  <c r="Y10" i="3"/>
  <c r="W10" i="3"/>
  <c r="AD10" i="3" s="1"/>
  <c r="U10" i="3"/>
  <c r="S10" i="3"/>
  <c r="Q10" i="3"/>
  <c r="O10" i="3"/>
  <c r="AC10" i="3" s="1"/>
  <c r="M10" i="3"/>
  <c r="K10" i="3"/>
  <c r="I10" i="3"/>
  <c r="G10" i="3"/>
  <c r="AB10" i="3" s="1"/>
  <c r="AE10" i="3" s="1"/>
  <c r="AF10" i="3" s="1"/>
  <c r="E10" i="3"/>
  <c r="Y9" i="3"/>
  <c r="AA9" i="3" s="1"/>
  <c r="U9" i="3"/>
  <c r="W9" i="3" s="1"/>
  <c r="AD9" i="3" s="1"/>
  <c r="Q9" i="3"/>
  <c r="S9" i="3" s="1"/>
  <c r="O9" i="3"/>
  <c r="AC9" i="3" s="1"/>
  <c r="M9" i="3"/>
  <c r="I9" i="3"/>
  <c r="K9" i="3" s="1"/>
  <c r="E9" i="3"/>
  <c r="G9" i="3" s="1"/>
  <c r="AB9" i="3" s="1"/>
  <c r="AE9" i="3" s="1"/>
  <c r="AF9" i="3" s="1"/>
  <c r="AC8" i="3"/>
  <c r="AA8" i="3"/>
  <c r="Y8" i="3"/>
  <c r="W8" i="3"/>
  <c r="AD8" i="3" s="1"/>
  <c r="U8" i="3"/>
  <c r="S8" i="3"/>
  <c r="Q8" i="3"/>
  <c r="O8" i="3"/>
  <c r="M8" i="3"/>
  <c r="K8" i="3"/>
  <c r="I8" i="3"/>
  <c r="G8" i="3"/>
  <c r="E8" i="3"/>
  <c r="BF16" i="2"/>
  <c r="BC16" i="2"/>
  <c r="BA16" i="2"/>
  <c r="BD16" i="2" s="1"/>
  <c r="AZ16" i="2"/>
  <c r="AX16" i="2"/>
  <c r="AP16" i="2"/>
  <c r="AR16" i="2" s="1"/>
  <c r="AO16" i="2"/>
  <c r="AM16" i="2"/>
  <c r="AJ16" i="2"/>
  <c r="AG16" i="2"/>
  <c r="AD16" i="2"/>
  <c r="AK16" i="2" s="1"/>
  <c r="BJ16" i="2" s="1"/>
  <c r="AB16" i="2"/>
  <c r="AE16" i="2" s="1"/>
  <c r="AH16" i="2" s="1"/>
  <c r="T16" i="2"/>
  <c r="V16" i="2" s="1"/>
  <c r="Q16" i="2"/>
  <c r="S16" i="2" s="1"/>
  <c r="N16" i="2"/>
  <c r="K16" i="2"/>
  <c r="O16" i="2" s="1"/>
  <c r="H16" i="2"/>
  <c r="F16" i="2"/>
  <c r="I16" i="2" s="1"/>
  <c r="L16" i="2" s="1"/>
  <c r="BF15" i="2"/>
  <c r="BC15" i="2"/>
  <c r="BA15" i="2"/>
  <c r="BD15" i="2" s="1"/>
  <c r="AZ15" i="2"/>
  <c r="AX15" i="2"/>
  <c r="AM15" i="2"/>
  <c r="AP15" i="2" s="1"/>
  <c r="AB15" i="2"/>
  <c r="AE15" i="2" s="1"/>
  <c r="AH15" i="2" s="1"/>
  <c r="AJ15" i="2" s="1"/>
  <c r="Q15" i="2"/>
  <c r="S15" i="2" s="1"/>
  <c r="H15" i="2"/>
  <c r="F15" i="2"/>
  <c r="I15" i="2" s="1"/>
  <c r="L15" i="2" s="1"/>
  <c r="N15" i="2" s="1"/>
  <c r="BA14" i="2"/>
  <c r="BD14" i="2" s="1"/>
  <c r="BF14" i="2" s="1"/>
  <c r="AZ14" i="2"/>
  <c r="AX14" i="2"/>
  <c r="AM14" i="2"/>
  <c r="AP14" i="2" s="1"/>
  <c r="AJ14" i="2"/>
  <c r="AG14" i="2"/>
  <c r="AB14" i="2"/>
  <c r="AE14" i="2" s="1"/>
  <c r="AH14" i="2" s="1"/>
  <c r="Q14" i="2"/>
  <c r="S14" i="2" s="1"/>
  <c r="N14" i="2"/>
  <c r="H14" i="2"/>
  <c r="F14" i="2"/>
  <c r="I14" i="2" s="1"/>
  <c r="L14" i="2" s="1"/>
  <c r="BF13" i="2"/>
  <c r="BA13" i="2"/>
  <c r="BD13" i="2" s="1"/>
  <c r="AZ13" i="2"/>
  <c r="AX13" i="2"/>
  <c r="AP13" i="2"/>
  <c r="AR13" i="2" s="1"/>
  <c r="AO13" i="2"/>
  <c r="AM13" i="2"/>
  <c r="AJ13" i="2"/>
  <c r="AG13" i="2"/>
  <c r="AB13" i="2"/>
  <c r="AE13" i="2" s="1"/>
  <c r="AH13" i="2" s="1"/>
  <c r="W13" i="2"/>
  <c r="Y13" i="2" s="1"/>
  <c r="T13" i="2"/>
  <c r="V13" i="2" s="1"/>
  <c r="Z13" i="2" s="1"/>
  <c r="Q13" i="2"/>
  <c r="S13" i="2" s="1"/>
  <c r="H13" i="2"/>
  <c r="F13" i="2"/>
  <c r="I13" i="2" s="1"/>
  <c r="L13" i="2" s="1"/>
  <c r="N13" i="2" s="1"/>
  <c r="BF12" i="2"/>
  <c r="BA12" i="2"/>
  <c r="BD12" i="2" s="1"/>
  <c r="AZ12" i="2"/>
  <c r="AX12" i="2"/>
  <c r="AP12" i="2"/>
  <c r="AR12" i="2" s="1"/>
  <c r="AO12" i="2"/>
  <c r="AM12" i="2"/>
  <c r="AD12" i="2"/>
  <c r="AB12" i="2"/>
  <c r="AE12" i="2" s="1"/>
  <c r="AH12" i="2" s="1"/>
  <c r="AJ12" i="2" s="1"/>
  <c r="T12" i="2"/>
  <c r="V12" i="2" s="1"/>
  <c r="Q12" i="2"/>
  <c r="S12" i="2" s="1"/>
  <c r="N12" i="2"/>
  <c r="K12" i="2"/>
  <c r="H12" i="2"/>
  <c r="O12" i="2" s="1"/>
  <c r="F12" i="2"/>
  <c r="I12" i="2" s="1"/>
  <c r="L12" i="2" s="1"/>
  <c r="BC11" i="2"/>
  <c r="BA11" i="2"/>
  <c r="BD11" i="2" s="1"/>
  <c r="BF11" i="2" s="1"/>
  <c r="AZ11" i="2"/>
  <c r="AX11" i="2"/>
  <c r="AM11" i="2"/>
  <c r="AP11" i="2" s="1"/>
  <c r="AJ11" i="2"/>
  <c r="AB11" i="2"/>
  <c r="AE11" i="2" s="1"/>
  <c r="AH11" i="2" s="1"/>
  <c r="Q11" i="2"/>
  <c r="S11" i="2" s="1"/>
  <c r="O11" i="2"/>
  <c r="N11" i="2"/>
  <c r="K11" i="2"/>
  <c r="H11" i="2"/>
  <c r="F11" i="2"/>
  <c r="I11" i="2" s="1"/>
  <c r="L11" i="2" s="1"/>
  <c r="BA10" i="2"/>
  <c r="BD10" i="2" s="1"/>
  <c r="BF10" i="2" s="1"/>
  <c r="AZ10" i="2"/>
  <c r="AX10" i="2"/>
  <c r="AS10" i="2"/>
  <c r="AU10" i="2" s="1"/>
  <c r="AP10" i="2"/>
  <c r="AR10" i="2" s="1"/>
  <c r="AM10" i="2"/>
  <c r="AO10" i="2" s="1"/>
  <c r="AV10" i="2" s="1"/>
  <c r="AB10" i="2"/>
  <c r="AE10" i="2" s="1"/>
  <c r="AH10" i="2" s="1"/>
  <c r="AJ10" i="2" s="1"/>
  <c r="Q10" i="2"/>
  <c r="S10" i="2" s="1"/>
  <c r="H10" i="2"/>
  <c r="F10" i="2"/>
  <c r="I10" i="2" s="1"/>
  <c r="L10" i="2" s="1"/>
  <c r="N10" i="2" s="1"/>
  <c r="BA9" i="2"/>
  <c r="BD9" i="2" s="1"/>
  <c r="BF9" i="2" s="1"/>
  <c r="AZ9" i="2"/>
  <c r="AX9" i="2"/>
  <c r="AP9" i="2"/>
  <c r="AR9" i="2" s="1"/>
  <c r="AM9" i="2"/>
  <c r="AO9" i="2" s="1"/>
  <c r="AJ9" i="2"/>
  <c r="AG9" i="2"/>
  <c r="AD9" i="2"/>
  <c r="AB9" i="2"/>
  <c r="AE9" i="2" s="1"/>
  <c r="AH9" i="2" s="1"/>
  <c r="Q9" i="2"/>
  <c r="S9" i="2" s="1"/>
  <c r="N9" i="2"/>
  <c r="F9" i="2"/>
  <c r="I9" i="2" s="1"/>
  <c r="L9" i="2" s="1"/>
  <c r="BF8" i="2"/>
  <c r="BC8" i="2"/>
  <c r="BA8" i="2"/>
  <c r="BD8" i="2" s="1"/>
  <c r="AZ8" i="2"/>
  <c r="AX8" i="2"/>
  <c r="AM8" i="2"/>
  <c r="AO8" i="2" s="1"/>
  <c r="AJ8" i="2"/>
  <c r="AG8" i="2"/>
  <c r="AD8" i="2"/>
  <c r="AK8" i="2" s="1"/>
  <c r="BJ8" i="2" s="1"/>
  <c r="AB8" i="2"/>
  <c r="AE8" i="2" s="1"/>
  <c r="AH8" i="2" s="1"/>
  <c r="T8" i="2"/>
  <c r="V8" i="2" s="1"/>
  <c r="Q8" i="2"/>
  <c r="S8" i="2" s="1"/>
  <c r="H8" i="2"/>
  <c r="F8" i="2"/>
  <c r="I8" i="2" s="1"/>
  <c r="L8" i="2" s="1"/>
  <c r="N8" i="2" s="1"/>
  <c r="G15" i="1"/>
  <c r="AV33" i="2" l="1"/>
  <c r="AK32" i="2"/>
  <c r="BJ32" i="2" s="1"/>
  <c r="AH37" i="2"/>
  <c r="AJ37" i="2" s="1"/>
  <c r="AK37" i="2" s="1"/>
  <c r="BJ37" i="2" s="1"/>
  <c r="Z31" i="2"/>
  <c r="AR30" i="2"/>
  <c r="AV30" i="2" s="1"/>
  <c r="AR36" i="2"/>
  <c r="AV36" i="2" s="1"/>
  <c r="BA32" i="2"/>
  <c r="AZ32" i="2"/>
  <c r="AR33" i="2"/>
  <c r="AR35" i="2"/>
  <c r="AV35" i="2" s="1"/>
  <c r="BI35" i="2" s="1"/>
  <c r="V29" i="2"/>
  <c r="O31" i="2"/>
  <c r="BH31" i="2" s="1"/>
  <c r="S32" i="2"/>
  <c r="Z32" i="2" s="1"/>
  <c r="W34" i="2"/>
  <c r="Y34" i="2" s="1"/>
  <c r="AR34" i="2"/>
  <c r="AV34" i="2" s="1"/>
  <c r="BI34" i="2" s="1"/>
  <c r="BA29" i="2"/>
  <c r="AZ29" i="2"/>
  <c r="AH32" i="2"/>
  <c r="AJ32" i="2" s="1"/>
  <c r="I33" i="2"/>
  <c r="AH30" i="2"/>
  <c r="AJ30" i="2" s="1"/>
  <c r="AK30" i="2" s="1"/>
  <c r="BJ30" i="2" s="1"/>
  <c r="BA30" i="2"/>
  <c r="AZ30" i="2"/>
  <c r="V32" i="2"/>
  <c r="O34" i="2"/>
  <c r="O35" i="2"/>
  <c r="BH35" i="2" s="1"/>
  <c r="AK35" i="2"/>
  <c r="BJ35" i="2" s="1"/>
  <c r="I36" i="2"/>
  <c r="AH36" i="2"/>
  <c r="AJ36" i="2" s="1"/>
  <c r="AK36" i="2" s="1"/>
  <c r="BJ36" i="2" s="1"/>
  <c r="BC36" i="2"/>
  <c r="T37" i="2"/>
  <c r="S37" i="2"/>
  <c r="AS37" i="2"/>
  <c r="AU37" i="2" s="1"/>
  <c r="AR37" i="2"/>
  <c r="AV37" i="2" s="1"/>
  <c r="BI37" i="2" s="1"/>
  <c r="AH29" i="2"/>
  <c r="AJ29" i="2" s="1"/>
  <c r="AK29" i="2" s="1"/>
  <c r="BJ29" i="2" s="1"/>
  <c r="S34" i="2"/>
  <c r="Z34" i="2" s="1"/>
  <c r="BA33" i="2"/>
  <c r="AZ33" i="2"/>
  <c r="AK34" i="2"/>
  <c r="BJ34" i="2" s="1"/>
  <c r="I29" i="2"/>
  <c r="AR29" i="2"/>
  <c r="AV29" i="2" s="1"/>
  <c r="V30" i="2"/>
  <c r="Z30" i="2" s="1"/>
  <c r="O32" i="2"/>
  <c r="S33" i="2"/>
  <c r="Z33" i="2" s="1"/>
  <c r="K34" i="2"/>
  <c r="K35" i="2"/>
  <c r="I30" i="2"/>
  <c r="S29" i="2"/>
  <c r="Z29" i="2" s="1"/>
  <c r="BA31" i="2"/>
  <c r="AZ31" i="2"/>
  <c r="Z36" i="2"/>
  <c r="BC37" i="2"/>
  <c r="AZ34" i="2"/>
  <c r="BG34" i="2" s="1"/>
  <c r="AZ35" i="2"/>
  <c r="BG35" i="2" s="1"/>
  <c r="AZ36" i="2"/>
  <c r="BG36" i="2" s="1"/>
  <c r="AZ37" i="2"/>
  <c r="BG37" i="2" s="1"/>
  <c r="H9" i="2"/>
  <c r="K9" i="2"/>
  <c r="O9" i="2" s="1"/>
  <c r="O15" i="2"/>
  <c r="AR11" i="2"/>
  <c r="AS11" i="2"/>
  <c r="AU11" i="2" s="1"/>
  <c r="AR15" i="2"/>
  <c r="AS15" i="2"/>
  <c r="AU15" i="2" s="1"/>
  <c r="AR14" i="2"/>
  <c r="AS14" i="2"/>
  <c r="AU14" i="2" s="1"/>
  <c r="AE11" i="3"/>
  <c r="AF11" i="3" s="1"/>
  <c r="AI12" i="4"/>
  <c r="AJ12" i="4" s="1"/>
  <c r="O8" i="2"/>
  <c r="Z12" i="2"/>
  <c r="BH12" i="2" s="1"/>
  <c r="AP8" i="2"/>
  <c r="T11" i="2"/>
  <c r="AG12" i="2"/>
  <c r="BG13" i="2"/>
  <c r="AO11" i="2"/>
  <c r="BG8" i="2"/>
  <c r="AS9" i="2"/>
  <c r="AU9" i="2" s="1"/>
  <c r="AV9" i="2" s="1"/>
  <c r="BC10" i="2"/>
  <c r="AD11" i="2"/>
  <c r="AK11" i="2" s="1"/>
  <c r="BJ11" i="2" s="1"/>
  <c r="W12" i="2"/>
  <c r="Y12" i="2" s="1"/>
  <c r="T15" i="2"/>
  <c r="AO15" i="2"/>
  <c r="AV15" i="2" s="1"/>
  <c r="BG16" i="2"/>
  <c r="AF9" i="4"/>
  <c r="AI9" i="4" s="1"/>
  <c r="AJ9" i="4" s="1"/>
  <c r="O8" i="6" s="1"/>
  <c r="AJ8" i="5"/>
  <c r="H9" i="6"/>
  <c r="T10" i="2"/>
  <c r="AG11" i="2"/>
  <c r="BG11" i="2"/>
  <c r="AS12" i="2"/>
  <c r="AU12" i="2" s="1"/>
  <c r="AV12" i="2" s="1"/>
  <c r="BC13" i="2"/>
  <c r="K14" i="2"/>
  <c r="O14" i="2" s="1"/>
  <c r="AD14" i="2"/>
  <c r="AK14" i="2" s="1"/>
  <c r="BJ14" i="2" s="1"/>
  <c r="AB8" i="3"/>
  <c r="AE8" i="3" s="1"/>
  <c r="AF8" i="3" s="1"/>
  <c r="AC12" i="3"/>
  <c r="F7" i="6"/>
  <c r="F16" i="6" s="1"/>
  <c r="H11" i="6"/>
  <c r="H13" i="6"/>
  <c r="AK9" i="2"/>
  <c r="BJ9" i="2" s="1"/>
  <c r="BG14" i="2"/>
  <c r="AB13" i="3"/>
  <c r="AE13" i="3" s="1"/>
  <c r="AF13" i="3" s="1"/>
  <c r="AH8" i="4"/>
  <c r="AI8" i="4" s="1"/>
  <c r="AJ8" i="4" s="1"/>
  <c r="AG11" i="4"/>
  <c r="H7" i="6"/>
  <c r="G16" i="6"/>
  <c r="M8" i="6"/>
  <c r="P14" i="6"/>
  <c r="M14" i="6"/>
  <c r="AF11" i="4"/>
  <c r="AI11" i="4" s="1"/>
  <c r="AJ11" i="4" s="1"/>
  <c r="AL8" i="5"/>
  <c r="J8" i="6"/>
  <c r="K8" i="2"/>
  <c r="BC9" i="2"/>
  <c r="BG9" i="2" s="1"/>
  <c r="AD10" i="2"/>
  <c r="AK10" i="2" s="1"/>
  <c r="BJ10" i="2" s="1"/>
  <c r="T14" i="2"/>
  <c r="BG15" i="2"/>
  <c r="AB12" i="3"/>
  <c r="AE12" i="3" s="1"/>
  <c r="AF12" i="3" s="1"/>
  <c r="AD12" i="3"/>
  <c r="P8" i="6"/>
  <c r="H10" i="6"/>
  <c r="W8" i="2"/>
  <c r="Y8" i="2" s="1"/>
  <c r="Z8" i="2" s="1"/>
  <c r="AK12" i="2"/>
  <c r="BJ12" i="2" s="1"/>
  <c r="AS13" i="2"/>
  <c r="AU13" i="2" s="1"/>
  <c r="AV13" i="2" s="1"/>
  <c r="BI13" i="2" s="1"/>
  <c r="BC14" i="2"/>
  <c r="K15" i="2"/>
  <c r="AD15" i="2"/>
  <c r="W16" i="2"/>
  <c r="Y16" i="2" s="1"/>
  <c r="Z16" i="2" s="1"/>
  <c r="BH16" i="2" s="1"/>
  <c r="BK16" i="2" s="1"/>
  <c r="BL16" i="2" s="1"/>
  <c r="I15" i="6" s="1"/>
  <c r="AC15" i="3"/>
  <c r="AE15" i="3" s="1"/>
  <c r="AF15" i="3" s="1"/>
  <c r="J14" i="6" s="1"/>
  <c r="K10" i="2"/>
  <c r="O10" i="2" s="1"/>
  <c r="AO14" i="2"/>
  <c r="AV14" i="2" s="1"/>
  <c r="AG15" i="2"/>
  <c r="AS16" i="2"/>
  <c r="AU16" i="2" s="1"/>
  <c r="AV16" i="2" s="1"/>
  <c r="BI16" i="2" s="1"/>
  <c r="T9" i="2"/>
  <c r="AG10" i="2"/>
  <c r="BG10" i="2"/>
  <c r="BI10" i="2" s="1"/>
  <c r="BC12" i="2"/>
  <c r="BG12" i="2" s="1"/>
  <c r="K13" i="2"/>
  <c r="O13" i="2" s="1"/>
  <c r="BH13" i="2" s="1"/>
  <c r="AD13" i="2"/>
  <c r="AK13" i="2" s="1"/>
  <c r="BJ13" i="2" s="1"/>
  <c r="AB16" i="3"/>
  <c r="AE16" i="3" s="1"/>
  <c r="AF16" i="3" s="1"/>
  <c r="J15" i="6" s="1"/>
  <c r="AH11" i="4"/>
  <c r="AG12" i="4"/>
  <c r="H12" i="6"/>
  <c r="P15" i="6"/>
  <c r="O15" i="6"/>
  <c r="M15" i="6"/>
  <c r="L33" i="2" l="1"/>
  <c r="N33" i="2" s="1"/>
  <c r="K33" i="2"/>
  <c r="O33" i="2" s="1"/>
  <c r="BH33" i="2" s="1"/>
  <c r="BI36" i="2"/>
  <c r="BD31" i="2"/>
  <c r="BF31" i="2" s="1"/>
  <c r="BC31" i="2"/>
  <c r="BG31" i="2" s="1"/>
  <c r="BI31" i="2" s="1"/>
  <c r="BK31" i="2" s="1"/>
  <c r="BL31" i="2" s="1"/>
  <c r="L30" i="2"/>
  <c r="N30" i="2" s="1"/>
  <c r="K30" i="2"/>
  <c r="O30" i="2" s="1"/>
  <c r="BH30" i="2" s="1"/>
  <c r="Z37" i="2"/>
  <c r="BH37" i="2" s="1"/>
  <c r="BK37" i="2" s="1"/>
  <c r="BL37" i="2" s="1"/>
  <c r="L36" i="2"/>
  <c r="N36" i="2" s="1"/>
  <c r="K36" i="2"/>
  <c r="BH34" i="2"/>
  <c r="BK34" i="2" s="1"/>
  <c r="BL34" i="2" s="1"/>
  <c r="W37" i="2"/>
  <c r="Y37" i="2" s="1"/>
  <c r="V37" i="2"/>
  <c r="K29" i="2"/>
  <c r="O29" i="2" s="1"/>
  <c r="BH29" i="2" s="1"/>
  <c r="L29" i="2"/>
  <c r="N29" i="2" s="1"/>
  <c r="BK35" i="2"/>
  <c r="BL35" i="2" s="1"/>
  <c r="BD29" i="2"/>
  <c r="BF29" i="2" s="1"/>
  <c r="BG29" i="2" s="1"/>
  <c r="BI29" i="2" s="1"/>
  <c r="BC29" i="2"/>
  <c r="BD33" i="2"/>
  <c r="BF33" i="2" s="1"/>
  <c r="BC33" i="2"/>
  <c r="BG33" i="2" s="1"/>
  <c r="BI33" i="2" s="1"/>
  <c r="BH32" i="2"/>
  <c r="BD30" i="2"/>
  <c r="BF30" i="2" s="1"/>
  <c r="BC30" i="2"/>
  <c r="BG30" i="2" s="1"/>
  <c r="BI30" i="2" s="1"/>
  <c r="BD32" i="2"/>
  <c r="BF32" i="2" s="1"/>
  <c r="BC32" i="2"/>
  <c r="BG32" i="2" s="1"/>
  <c r="BI32" i="2" s="1"/>
  <c r="BI9" i="2"/>
  <c r="L8" i="6"/>
  <c r="L15" i="6"/>
  <c r="L14" i="6"/>
  <c r="M13" i="6"/>
  <c r="L13" i="6"/>
  <c r="J13" i="6"/>
  <c r="P13" i="6"/>
  <c r="O13" i="6"/>
  <c r="BI12" i="2"/>
  <c r="BK12" i="2" s="1"/>
  <c r="BL12" i="2" s="1"/>
  <c r="I11" i="6" s="1"/>
  <c r="BI15" i="2"/>
  <c r="BK13" i="2"/>
  <c r="BL13" i="2" s="1"/>
  <c r="AK15" i="2"/>
  <c r="BJ15" i="2" s="1"/>
  <c r="L10" i="6"/>
  <c r="J10" i="6"/>
  <c r="P10" i="6"/>
  <c r="M10" i="6"/>
  <c r="O10" i="6"/>
  <c r="O11" i="6"/>
  <c r="M11" i="6"/>
  <c r="L11" i="6"/>
  <c r="P11" i="6"/>
  <c r="J11" i="6"/>
  <c r="V15" i="2"/>
  <c r="Z15" i="2" s="1"/>
  <c r="W15" i="2"/>
  <c r="Y15" i="2" s="1"/>
  <c r="V9" i="2"/>
  <c r="Z9" i="2" s="1"/>
  <c r="BH9" i="2" s="1"/>
  <c r="BK9" i="2" s="1"/>
  <c r="BL9" i="2" s="1"/>
  <c r="I8" i="6" s="1"/>
  <c r="W9" i="2"/>
  <c r="Y9" i="2" s="1"/>
  <c r="O14" i="6"/>
  <c r="J7" i="6"/>
  <c r="P7" i="6"/>
  <c r="H16" i="6"/>
  <c r="L7" i="6"/>
  <c r="O7" i="6"/>
  <c r="M7" i="6"/>
  <c r="V14" i="2"/>
  <c r="Z14" i="2" s="1"/>
  <c r="W14" i="2"/>
  <c r="Y14" i="2" s="1"/>
  <c r="J12" i="6"/>
  <c r="I12" i="6"/>
  <c r="P12" i="6"/>
  <c r="O12" i="6"/>
  <c r="N12" i="6"/>
  <c r="M12" i="6"/>
  <c r="L12" i="6"/>
  <c r="V10" i="2"/>
  <c r="Z10" i="2" s="1"/>
  <c r="BH10" i="2" s="1"/>
  <c r="BK10" i="2" s="1"/>
  <c r="BL10" i="2" s="1"/>
  <c r="I9" i="6" s="1"/>
  <c r="W10" i="2"/>
  <c r="Y10" i="2" s="1"/>
  <c r="V11" i="2"/>
  <c r="W11" i="2"/>
  <c r="Y11" i="2" s="1"/>
  <c r="BH15" i="2"/>
  <c r="BK15" i="2" s="1"/>
  <c r="BL15" i="2" s="1"/>
  <c r="I14" i="6" s="1"/>
  <c r="P9" i="6"/>
  <c r="O9" i="6"/>
  <c r="M9" i="6"/>
  <c r="J9" i="6"/>
  <c r="L9" i="6"/>
  <c r="AR8" i="2"/>
  <c r="AV8" i="2" s="1"/>
  <c r="BI8" i="2" s="1"/>
  <c r="AS8" i="2"/>
  <c r="AU8" i="2" s="1"/>
  <c r="BH8" i="2"/>
  <c r="BI14" i="2"/>
  <c r="AM8" i="5"/>
  <c r="AN8" i="5" s="1"/>
  <c r="N13" i="6" s="1"/>
  <c r="BH14" i="2"/>
  <c r="BK14" i="2" s="1"/>
  <c r="BL14" i="2" s="1"/>
  <c r="I13" i="6" s="1"/>
  <c r="AV11" i="2"/>
  <c r="BI11" i="2" s="1"/>
  <c r="O36" i="2" l="1"/>
  <c r="BH36" i="2" s="1"/>
  <c r="BK36" i="2" s="1"/>
  <c r="BL36" i="2" s="1"/>
  <c r="BK29" i="2"/>
  <c r="BL29" i="2" s="1"/>
  <c r="BK32" i="2"/>
  <c r="BL32" i="2" s="1"/>
  <c r="BK33" i="2"/>
  <c r="BL33" i="2" s="1"/>
  <c r="BK30" i="2"/>
  <c r="BL30" i="2" s="1"/>
  <c r="E14" i="7"/>
  <c r="F14" i="7" s="1"/>
  <c r="E13" i="7"/>
  <c r="F13" i="7" s="1"/>
  <c r="E15" i="7"/>
  <c r="F15" i="7" s="1"/>
  <c r="M16" i="6"/>
  <c r="N7" i="6"/>
  <c r="BK8" i="2"/>
  <c r="BL8" i="2" s="1"/>
  <c r="E19" i="7"/>
  <c r="F19" i="7" s="1"/>
  <c r="P16" i="6"/>
  <c r="Z11" i="2"/>
  <c r="BH11" i="2" s="1"/>
  <c r="BK11" i="2" s="1"/>
  <c r="BL11" i="2" s="1"/>
  <c r="I10" i="6" s="1"/>
  <c r="N15" i="6"/>
  <c r="N14" i="6"/>
  <c r="N8" i="6"/>
  <c r="E17" i="7"/>
  <c r="F17" i="7" s="1"/>
  <c r="L16" i="6"/>
  <c r="N11" i="6"/>
  <c r="N9" i="6"/>
  <c r="N10" i="6"/>
  <c r="E16" i="7"/>
  <c r="F16" i="7" s="1"/>
  <c r="O16" i="6"/>
  <c r="E11" i="7"/>
  <c r="F11" i="7" s="1"/>
  <c r="J16" i="6"/>
  <c r="E10" i="7"/>
  <c r="F10" i="7" s="1"/>
  <c r="E12" i="7"/>
  <c r="F12" i="7" s="1"/>
  <c r="E18" i="7" l="1"/>
  <c r="F18" i="7" s="1"/>
  <c r="N16" i="6"/>
  <c r="K8" i="6"/>
  <c r="Q8" i="6" s="1"/>
  <c r="K15" i="6"/>
  <c r="Q15" i="6" s="1"/>
  <c r="K14" i="6"/>
  <c r="Q14" i="6" s="1"/>
  <c r="K7" i="6"/>
  <c r="K13" i="6"/>
  <c r="Q13" i="6" s="1"/>
  <c r="I7" i="6"/>
  <c r="K12" i="6"/>
  <c r="Q12" i="6" s="1"/>
  <c r="K9" i="6"/>
  <c r="Q9" i="6" s="1"/>
  <c r="K10" i="6"/>
  <c r="K11" i="6"/>
  <c r="Q11" i="6" s="1"/>
  <c r="Q10" i="6"/>
  <c r="E9" i="7" l="1"/>
  <c r="F9" i="7" s="1"/>
  <c r="Q7" i="6"/>
  <c r="Q16" i="6" s="1"/>
  <c r="E8" i="7"/>
  <c r="F8" i="7" s="1"/>
  <c r="I16" i="6"/>
  <c r="E7" i="7"/>
  <c r="F7" i="7" s="1"/>
  <c r="E6" i="7"/>
  <c r="K16" i="6"/>
  <c r="F6" i="7" l="1"/>
  <c r="F20" i="7" s="1"/>
  <c r="E20" i="7"/>
</calcChain>
</file>

<file path=xl/sharedStrings.xml><?xml version="1.0" encoding="utf-8"?>
<sst xmlns="http://schemas.openxmlformats.org/spreadsheetml/2006/main" count="683" uniqueCount="279">
  <si>
    <t>MTM Marketing — Commission Model Setup</t>
  </si>
  <si>
    <t>Yellow = inputs. HARD GATE: If a brand misses 100% sales target, ZERO commission for everyone on that brand.</t>
  </si>
  <si>
    <t>Financial Inputs</t>
  </si>
  <si>
    <t>Commission Pool Split (per Brand)</t>
  </si>
  <si>
    <t>Quarter being measured</t>
  </si>
  <si>
    <t>Apr–May–Jun 2026</t>
  </si>
  <si>
    <t>Role</t>
  </si>
  <si>
    <t>Share</t>
  </si>
  <si>
    <t>Notes</t>
  </si>
  <si>
    <t>Brand–Role Assignments</t>
  </si>
  <si>
    <t>Commission pool as % of brand revenue</t>
  </si>
  <si>
    <t>Account Manager</t>
  </si>
  <si>
    <t>Strategy, organic, coordination</t>
  </si>
  <si>
    <t>Brand</t>
  </si>
  <si>
    <t>Media Buyer</t>
  </si>
  <si>
    <t>Designer</t>
  </si>
  <si>
    <t>Events Ran This Q?</t>
  </si>
  <si>
    <t>VO2 Gym Ladies</t>
  </si>
  <si>
    <t>Amnay</t>
  </si>
  <si>
    <t>Jeff</t>
  </si>
  <si>
    <t>Brand Sales Gate (HARD: 100% or zero)</t>
  </si>
  <si>
    <t>Marketing Manager</t>
  </si>
  <si>
    <t>VO2 Gym Men</t>
  </si>
  <si>
    <t>Ahmed</t>
  </si>
  <si>
    <t>Achraf</t>
  </si>
  <si>
    <t>Brand Sales vs Target</t>
  </si>
  <si>
    <t>Min %</t>
  </si>
  <si>
    <t>Pool Unlock %</t>
  </si>
  <si>
    <t>Creative Director</t>
  </si>
  <si>
    <t>Design direction (all brands)</t>
  </si>
  <si>
    <t>The Venue Ladies</t>
  </si>
  <si>
    <t>Salwa</t>
  </si>
  <si>
    <t>Alex</t>
  </si>
  <si>
    <t>Below 100% (target missed)</t>
  </si>
  <si>
    <t>Brand-specific designer</t>
  </si>
  <si>
    <t>The Venue Men</t>
  </si>
  <si>
    <t>100 – 110% (target hit)</t>
  </si>
  <si>
    <t>Events / Sponsorship</t>
  </si>
  <si>
    <t>Only if event ran this Q</t>
  </si>
  <si>
    <t>M Active Ladies</t>
  </si>
  <si>
    <t>111 – 125% (overperform)</t>
  </si>
  <si>
    <t>Videographer</t>
  </si>
  <si>
    <t>Video production (all brands)</t>
  </si>
  <si>
    <t>M Active Club</t>
  </si>
  <si>
    <t>126%+ (crushing it)</t>
  </si>
  <si>
    <t>Team Reserve</t>
  </si>
  <si>
    <t>Buffer / bonus pool</t>
  </si>
  <si>
    <t>Aspire Active Dome</t>
  </si>
  <si>
    <t>TOTAL</t>
  </si>
  <si>
    <t>Aspire Active Ladies</t>
  </si>
  <si>
    <t>Elite Swim Academy</t>
  </si>
  <si>
    <t>Individual KPI Modifier</t>
  </si>
  <si>
    <t>KPI Score</t>
  </si>
  <si>
    <t>Modifier</t>
  </si>
  <si>
    <t>Team Roster</t>
  </si>
  <si>
    <t>Below 80%</t>
  </si>
  <si>
    <t>Name</t>
  </si>
  <si>
    <t>80 – 94%</t>
  </si>
  <si>
    <t>Paola</t>
  </si>
  <si>
    <t>95 – 104%</t>
  </si>
  <si>
    <t>Account Manager 1</t>
  </si>
  <si>
    <t>AM 1</t>
  </si>
  <si>
    <t>105 – 119%</t>
  </si>
  <si>
    <t>Account Manager 2</t>
  </si>
  <si>
    <t>AM 2</t>
  </si>
  <si>
    <t>120%+</t>
  </si>
  <si>
    <t>Account Manager 3</t>
  </si>
  <si>
    <t>AM 3</t>
  </si>
  <si>
    <t>Media Buyer (Senior)</t>
  </si>
  <si>
    <t>Media Buyer (Junior)</t>
  </si>
  <si>
    <t>2 brands</t>
  </si>
  <si>
    <t>Growth Multipliers (AM Organic)</t>
  </si>
  <si>
    <t>Growth Multipliers (Media Buyer Paid)</t>
  </si>
  <si>
    <t>3 brands</t>
  </si>
  <si>
    <t>Metric</t>
  </si>
  <si>
    <t>Multiplier</t>
  </si>
  <si>
    <t>How target is set</t>
  </si>
  <si>
    <t>Reach</t>
  </si>
  <si>
    <t>Q Target = 6-mo monthly avg × 3 × 1.30</t>
  </si>
  <si>
    <t>Messages (Leads) /Q</t>
  </si>
  <si>
    <t>Target = 6-mo Q avg × 1.20</t>
  </si>
  <si>
    <t>Engagement Rate</t>
  </si>
  <si>
    <t>Absolute target % (industry 4-6%)</t>
  </si>
  <si>
    <t>Cost per Message (CPL)</t>
  </si>
  <si>
    <t>Target = 6-mo avg × 0.90 (inverted)</t>
  </si>
  <si>
    <t>DM Inquiries</t>
  </si>
  <si>
    <t>Q Target = 6-mo monthly avg × 3 × 1.25</t>
  </si>
  <si>
    <t>Reach /Q</t>
  </si>
  <si>
    <t>Target = 6-mo Q avg × 1.15</t>
  </si>
  <si>
    <t>Jaily</t>
  </si>
  <si>
    <t>Earns across all brands</t>
  </si>
  <si>
    <t>New Followers</t>
  </si>
  <si>
    <t>Q Target = 6-mo monthly avg × 3 × 1.15</t>
  </si>
  <si>
    <t>Awareness (Impressions) /Q</t>
  </si>
  <si>
    <t>CD</t>
  </si>
  <si>
    <t>Saves</t>
  </si>
  <si>
    <t>Budget Pacing</t>
  </si>
  <si>
    <t>Target = 100% adherence (±5%)</t>
  </si>
  <si>
    <t>Janna</t>
  </si>
  <si>
    <t>Works across all brands</t>
  </si>
  <si>
    <t>Shares</t>
  </si>
  <si>
    <t>Creative Variations per Offer</t>
  </si>
  <si>
    <t>Target variations per monthly offer (× 3 for quarter)</t>
  </si>
  <si>
    <t>Posting Consistency</t>
  </si>
  <si>
    <t>Target posts/mo (× 3 for quarter)</t>
  </si>
  <si>
    <t>Content Mix Adherence</t>
  </si>
  <si>
    <t>Target = 100% adherence</t>
  </si>
  <si>
    <t>Account Manager — Organic KPI Scorecard (Monthly: Apr–May–Jun 2026)</t>
  </si>
  <si>
    <t>GRAY cells = 6-mo monthly avg (input). Targets compound 30% MoM. April actuals pre-filled from Final KPI Organic file.</t>
  </si>
  <si>
    <t>TIER 1 — OUTCOME / VISIBILITY (60%)</t>
  </si>
  <si>
    <t>TIER 3 — GROWTH (15%)</t>
  </si>
  <si>
    <t>TIER 2 — ENGAGEMENT (25%)</t>
  </si>
  <si>
    <t>WEIGHTED SCORE</t>
  </si>
  <si>
    <t>Views</t>
  </si>
  <si>
    <t>Owner (AM)</t>
  </si>
  <si>
    <t>Followers</t>
  </si>
  <si>
    <t>6-Mo Avg</t>
  </si>
  <si>
    <t>Apr Tgt</t>
  </si>
  <si>
    <t>Apr Act</t>
  </si>
  <si>
    <t>Apr %</t>
  </si>
  <si>
    <t>May Tgt</t>
  </si>
  <si>
    <t>May Act</t>
  </si>
  <si>
    <t>May %</t>
  </si>
  <si>
    <t>Jun Tgt</t>
  </si>
  <si>
    <t>Jun Act</t>
  </si>
  <si>
    <t>Jun %</t>
  </si>
  <si>
    <t>Q %</t>
  </si>
  <si>
    <t>Tier 1</t>
  </si>
  <si>
    <t>Tier 2</t>
  </si>
  <si>
    <t>Tier 3</t>
  </si>
  <si>
    <t>Total</t>
  </si>
  <si>
    <t>Ruba</t>
  </si>
  <si>
    <t>Salta</t>
  </si>
  <si>
    <t>Issa</t>
  </si>
  <si>
    <t>Media Buyer — Paid KPI Scorecard (Quarterly) — Meta Ads</t>
  </si>
  <si>
    <t>GRAY = 6-mo QUARTERLY avg from Meta Ads Report. Inverted (CPL) — lower is better.</t>
  </si>
  <si>
    <t>TIER 1 — OUTCOME (60%)</t>
  </si>
  <si>
    <t>TIER 2 — VISIBILITY (25%)</t>
  </si>
  <si>
    <t>TIER 3 — PROCESS (15%)</t>
  </si>
  <si>
    <t>Creative Variations /Q</t>
  </si>
  <si>
    <t>Owner (MB)</t>
  </si>
  <si>
    <t>Target</t>
  </si>
  <si>
    <t>Actual</t>
  </si>
  <si>
    <t>%</t>
  </si>
  <si>
    <t>Creative Team — KPI Scorecard (Quarterly)</t>
  </si>
  <si>
    <t>GRAY = 6-mo avg. Inverted: Revisions, Brief Turnaround (lower=better). Creative Performance = avg ER (organic) or CTR (paid). Output Volume moved to Q3 plan.</t>
  </si>
  <si>
    <t>TIER 1 — PERFORMANCE (60%)</t>
  </si>
  <si>
    <t>TIER 2 — EXECUTION (25%)</t>
  </si>
  <si>
    <t>TIER 3 — QUALITY (15%)</t>
  </si>
  <si>
    <t>Creative Performance (ER/CTR)</t>
  </si>
  <si>
    <t>Top-Performer Rate</t>
  </si>
  <si>
    <t>Brand Consistency</t>
  </si>
  <si>
    <t>On-Time Delivery %</t>
  </si>
  <si>
    <t>Revision Rounds</t>
  </si>
  <si>
    <t>Brief Turnaround (days)</t>
  </si>
  <si>
    <t>Team Feedback Score (/10)</t>
  </si>
  <si>
    <t>Person</t>
  </si>
  <si>
    <t>Events &amp; Sponsorship — KPI Scorecard (Quarterly)</t>
  </si>
  <si>
    <t>FOCUS: Close sponsors + influencer deals. Tier 1 = deal closing (sponsors, revenue, influencer deals). Tier 2 = event execution. Tier 3 = quality.</t>
  </si>
  <si>
    <t># Sponsors Closed</t>
  </si>
  <si>
    <t>Sponsorship Revenue (QAR)</t>
  </si>
  <si>
    <t># Influencer Deals Closed</t>
  </si>
  <si>
    <t>Events Delivered</t>
  </si>
  <si>
    <t>Event-attributed Walk-ins</t>
  </si>
  <si>
    <t>On-Budget Rate</t>
  </si>
  <si>
    <t>On-Time Delivery</t>
  </si>
  <si>
    <t>Attendee Feedback (/10)</t>
  </si>
  <si>
    <t>Quarterly Sales Gate &amp; Commission Calculation</t>
  </si>
  <si>
    <t>HARD GATE: if a brand hits below 100% of sales target, ZERO commission for everyone on that brand.</t>
  </si>
  <si>
    <t>BRAND SALES &amp; POOL</t>
  </si>
  <si>
    <t>PER-ROLE COMMISSION (QAR)</t>
  </si>
  <si>
    <t>Sales Target (QAR)</t>
  </si>
  <si>
    <t>Sales Actual (QAR)</t>
  </si>
  <si>
    <t>% vs Target</t>
  </si>
  <si>
    <t>Gate Unlock %</t>
  </si>
  <si>
    <t>Brand Pool (1.5%)</t>
  </si>
  <si>
    <t>Unlocked Pool</t>
  </si>
  <si>
    <t>AM</t>
  </si>
  <si>
    <t>Mktg Mgr</t>
  </si>
  <si>
    <t>Creative Dir.</t>
  </si>
  <si>
    <t>Events</t>
  </si>
  <si>
    <t>Reserve</t>
  </si>
  <si>
    <t>Total Paid</t>
  </si>
  <si>
    <t>TOTALS</t>
  </si>
  <si>
    <t>Quarterly Commission — By Person</t>
  </si>
  <si>
    <t>Rolls up commission earned per person across all brands. If a brand failed gate (sales &lt;100%), it contributes zero.</t>
  </si>
  <si>
    <t>Brands / Scope</t>
  </si>
  <si>
    <t>Quarterly Commission</t>
  </si>
  <si>
    <t>Annual Projection (×4)</t>
  </si>
  <si>
    <t>Media Buyer (Sr)</t>
  </si>
  <si>
    <t>Media Buyer (Jr)</t>
  </si>
  <si>
    <t>Team Reserve / Pool</t>
  </si>
  <si>
    <t>Buffer</t>
  </si>
  <si>
    <t>—</t>
  </si>
  <si>
    <t>Q3 Plans &amp; Roadmap — What to Build/Add Next Quarter</t>
  </si>
  <si>
    <t>Things we cannot measure properly in Q2 — what to add or track starting Q3 (Jul-Aug-Sep 2026).</t>
  </si>
  <si>
    <t>AM Organic — Add in Q3</t>
  </si>
  <si>
    <t>Metric to Add</t>
  </si>
  <si>
    <t>Why</t>
  </si>
  <si>
    <t>How to Track Starting Now</t>
  </si>
  <si>
    <t>Target Q3</t>
  </si>
  <si>
    <t>DM Inquiries from Organic</t>
  </si>
  <si>
    <t>Connects organic to actual leads/business</t>
  </si>
  <si>
    <t>Manual tally in Google Sheet starting May. AMs log every inquiry DM with date/brand/source.</t>
  </si>
  <si>
    <t>TBD after baseline (~50-100/mo per brand)</t>
  </si>
  <si>
    <t>Engagement Rate by Reach</t>
  </si>
  <si>
    <t>Industry-standard quality metric — cant be gamed</t>
  </si>
  <si>
    <t>(Likes + Comments + Shares + Saves) / Reach per post. Aggregate monthly per brand.</t>
  </si>
  <si>
    <t>4-6% (industry benchmark)</t>
  </si>
  <si>
    <t>Holds AMs accountable for actually posting</t>
  </si>
  <si>
    <t>Count posts per month vs plan. Track in content calendar.</t>
  </si>
  <si>
    <t>95% adherence to plan</t>
  </si>
  <si>
    <t>Creative Team — Add in Q3 (Designers, Videographer, CD)</t>
  </si>
  <si>
    <t>Output Volume per Designer/Videographer</t>
  </si>
  <si>
    <t>Hold team accountable for productivity</t>
  </si>
  <si>
    <t>Brief log: count approved deliverables per month per person</t>
  </si>
  <si>
    <t>25-35/mo designers, 8-12/mo videographer</t>
  </si>
  <si>
    <t>Creative Performance Score</t>
  </si>
  <si>
    <t>Tie creative quality to actual ad/post performance</t>
  </si>
  <si>
    <t>After each piece is published, log its ER (organic) or CTR (paid). Aggregate per designer.</t>
  </si>
  <si>
    <t>Match or exceed brand avg</t>
  </si>
  <si>
    <t>% of designer/videographer creatives in top quartile</t>
  </si>
  <si>
    <t>After Q2 data collection, rank all creative by performance. % in top 25% per person.</t>
  </si>
  <si>
    <t>≥25% (statistical baseline)</t>
  </si>
  <si>
    <t>Strategic Initiatives (CD only)</t>
  </si>
  <si>
    <t>CD should lead bigger creative initiatives, not just review</t>
  </si>
  <si>
    <t>List Q3 strategic projects (brand refresh, content pillars, style guides). Count delivered on time.</t>
  </si>
  <si>
    <t>1-2 per quarter</t>
  </si>
  <si>
    <t>Less revisions = better briefs + better designers</t>
  </si>
  <si>
    <t>Track every brief: how many rounds before approval.</t>
  </si>
  <si>
    <t>≤2 rounds avg</t>
  </si>
  <si>
    <t>Brief Turnaround</t>
  </si>
  <si>
    <t>How fast does work move from brief to first draft</t>
  </si>
  <si>
    <t>Track every brief: days from briefed to first delivery.</t>
  </si>
  <si>
    <t>≤3 days avg</t>
  </si>
  <si>
    <t>Events &amp; Sponsorship — Add in Q3 (Janna)</t>
  </si>
  <si>
    <t>Influencer ROI / Reach Generated</t>
  </si>
  <si>
    <t>Measure quality of influencer deals, not just count</t>
  </si>
  <si>
    <t>For each influencer deal: track their reach × engagement during campaign.</t>
  </si>
  <si>
    <t>TBD after Q2 baseline</t>
  </si>
  <si>
    <t>Sponsor Retention Rate</t>
  </si>
  <si>
    <t>% of sponsors who renew/return for multiple events</t>
  </si>
  <si>
    <t>Track sponsors who repeat business across quarters.</t>
  </si>
  <si>
    <t>60%+ retention</t>
  </si>
  <si>
    <t>Cost Per Walk-in from Events</t>
  </si>
  <si>
    <t>Efficiency metric for event spend</t>
  </si>
  <si>
    <t>Total event spend ÷ event-attributed walk-ins.</t>
  </si>
  <si>
    <t>Set after Q2 baseline</t>
  </si>
  <si>
    <t>Partner Satisfaction Score</t>
  </si>
  <si>
    <t>Sponsors should want to come back</t>
  </si>
  <si>
    <t>Quarterly survey to sponsors and influencers Janna worked with.</t>
  </si>
  <si>
    <t>8/10</t>
  </si>
  <si>
    <t>Marketing Manager (Paola) — Build in Q3</t>
  </si>
  <si>
    <t>Item to Build</t>
  </si>
  <si>
    <t>Marketing Manager KPI Scorecard tab</t>
  </si>
  <si>
    <t>Currently your modifier = team avg. Replace with own scorecard (brand sales hit rate, team retention, strategic projects, leadership reporting).</t>
  </si>
  <si>
    <t>Cross-team Q3 review process</t>
  </si>
  <si>
    <t>Monthly 1:1s with each team lead to review their KPIs, set monthly goals.</t>
  </si>
  <si>
    <t>Quarterly KPI Audit</t>
  </si>
  <si>
    <t>Review all targets/multipliers each quarter — are they still reasonable? Adjust based on Q2 results.</t>
  </si>
  <si>
    <t>Sales attribution improvements</t>
  </si>
  <si>
    <t>Work with ERP team to add source-tracking for walk-ins (How did you hear about us?). Enables Cost Per Walk-in tracking.</t>
  </si>
  <si>
    <t>System Improvements for Q3</t>
  </si>
  <si>
    <t>Improvement</t>
  </si>
  <si>
    <t>Owner</t>
  </si>
  <si>
    <t>Set up brief tracking system (Google Sheet or Notion) for designers</t>
  </si>
  <si>
    <t>CD + Paola</t>
  </si>
  <si>
    <t>Set up DM inquiry tracking system for AMs</t>
  </si>
  <si>
    <t>Paola + AMs</t>
  </si>
  <si>
    <t>Set up event tracker with sponsor/influencer log</t>
  </si>
  <si>
    <t>Schedule monthly KPI reviews — 1:1 with each team lead</t>
  </si>
  <si>
    <t>Refine Q3 commission percentages based on Q2 results</t>
  </si>
  <si>
    <t>Paola + boss</t>
  </si>
  <si>
    <t>Yes</t>
  </si>
  <si>
    <t>Omar</t>
  </si>
  <si>
    <t>Earns from all brands</t>
  </si>
  <si>
    <t xml:space="preserve">Paid ads, CPL, </t>
  </si>
  <si>
    <t>Highest, earns across all 8 brands</t>
  </si>
  <si>
    <t>Account Manager — Organic KPI Scorecard (Monthly:JUN–JUL–AUG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</si>
</sst>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QAR &quot;#,##0"/>
    <numFmt numFmtId="166" formatCode="0.0"/>
  </numFmts>
  <fonts count="16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4"/>
      <color rgb="FF1F4E78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1"/>
      <name val="Arial"/>
      <family val="2"/>
    </font>
    <font>
      <b/>
      <sz val="13"/>
      <color rgb="FF1F4E78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9DC3E6"/>
        <bgColor rgb="FFBFBFBF"/>
      </patternFill>
    </fill>
    <fill>
      <patternFill patternType="solid">
        <fgColor rgb="FFD9E1F2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2" fontId="11" fillId="5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6" fontId="5" fillId="7" borderId="1" xfId="0" applyNumberFormat="1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12" fillId="5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/>
    <xf numFmtId="0" fontId="3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5"/>
  <sheetViews>
    <sheetView showGridLines="0" zoomScaleNormal="100" workbookViewId="0">
      <selection activeCell="H14" sqref="H14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3" width="20" customWidth="1"/>
    <col min="4" max="4" width="22" customWidth="1"/>
    <col min="5" max="5" width="2" customWidth="1"/>
    <col min="6" max="6" width="24" customWidth="1"/>
    <col min="7" max="7" width="12" customWidth="1"/>
    <col min="8" max="8" width="32" customWidth="1"/>
    <col min="9" max="10" width="2" customWidth="1"/>
    <col min="11" max="11" width="22" customWidth="1"/>
    <col min="12" max="12" width="14" customWidth="1"/>
    <col min="13" max="13" width="16" customWidth="1"/>
    <col min="14" max="14" width="18" customWidth="1"/>
  </cols>
  <sheetData>
    <row r="2" spans="2:14" ht="20" x14ac:dyDescent="0.2">
      <c r="B2" s="48" t="s">
        <v>0</v>
      </c>
      <c r="C2" s="48"/>
      <c r="D2" s="48"/>
      <c r="E2" s="48"/>
      <c r="F2" s="48"/>
    </row>
    <row r="3" spans="2:14" x14ac:dyDescent="0.2">
      <c r="B3" s="49" t="s">
        <v>1</v>
      </c>
      <c r="C3" s="49"/>
      <c r="D3" s="49"/>
      <c r="E3" s="49"/>
      <c r="F3" s="49"/>
    </row>
    <row r="5" spans="2:14" ht="15" customHeight="1" x14ac:dyDescent="0.2">
      <c r="B5" s="47" t="s">
        <v>2</v>
      </c>
      <c r="C5" s="47"/>
      <c r="D5" s="47"/>
      <c r="F5" s="47" t="s">
        <v>3</v>
      </c>
      <c r="G5" s="47"/>
      <c r="H5" s="47"/>
    </row>
    <row r="6" spans="2:14" ht="15" customHeight="1" x14ac:dyDescent="0.2">
      <c r="B6" s="2" t="s">
        <v>4</v>
      </c>
      <c r="C6" s="3" t="s">
        <v>5</v>
      </c>
      <c r="F6" s="4" t="s">
        <v>6</v>
      </c>
      <c r="G6" s="4" t="s">
        <v>7</v>
      </c>
      <c r="H6" s="4" t="s">
        <v>8</v>
      </c>
      <c r="K6" s="47" t="s">
        <v>9</v>
      </c>
      <c r="L6" s="47"/>
      <c r="M6" s="47"/>
      <c r="N6" s="47"/>
    </row>
    <row r="7" spans="2:14" ht="28" x14ac:dyDescent="0.2">
      <c r="B7" s="2" t="s">
        <v>10</v>
      </c>
      <c r="C7" s="5">
        <v>1.4999999999999999E-2</v>
      </c>
      <c r="F7" s="2" t="s">
        <v>11</v>
      </c>
      <c r="G7" s="6">
        <v>0.27</v>
      </c>
      <c r="H7" s="7" t="s">
        <v>12</v>
      </c>
      <c r="K7" s="4" t="s">
        <v>13</v>
      </c>
      <c r="L7" s="4" t="s">
        <v>14</v>
      </c>
      <c r="M7" s="4" t="s">
        <v>15</v>
      </c>
      <c r="N7" s="4" t="s">
        <v>16</v>
      </c>
    </row>
    <row r="8" spans="2:14" x14ac:dyDescent="0.2">
      <c r="F8" s="2" t="s">
        <v>14</v>
      </c>
      <c r="G8" s="6">
        <v>0.27</v>
      </c>
      <c r="H8" s="46" t="s">
        <v>276</v>
      </c>
      <c r="K8" s="2" t="s">
        <v>17</v>
      </c>
      <c r="L8" s="3" t="s">
        <v>18</v>
      </c>
      <c r="M8" s="3" t="s">
        <v>19</v>
      </c>
      <c r="N8" s="45" t="s">
        <v>273</v>
      </c>
    </row>
    <row r="9" spans="2:14" ht="15" customHeight="1" x14ac:dyDescent="0.2">
      <c r="B9" s="47" t="s">
        <v>20</v>
      </c>
      <c r="C9" s="47"/>
      <c r="D9" s="47"/>
      <c r="F9" s="2" t="s">
        <v>21</v>
      </c>
      <c r="G9" s="6">
        <v>0.18</v>
      </c>
      <c r="H9" s="46" t="s">
        <v>277</v>
      </c>
      <c r="K9" s="2" t="s">
        <v>22</v>
      </c>
      <c r="L9" s="3" t="s">
        <v>23</v>
      </c>
      <c r="M9" s="3" t="s">
        <v>24</v>
      </c>
      <c r="N9" s="45" t="s">
        <v>273</v>
      </c>
    </row>
    <row r="10" spans="2:14" x14ac:dyDescent="0.2">
      <c r="B10" s="4" t="s">
        <v>25</v>
      </c>
      <c r="C10" s="4" t="s">
        <v>26</v>
      </c>
      <c r="D10" s="4" t="s">
        <v>27</v>
      </c>
      <c r="F10" s="2" t="s">
        <v>28</v>
      </c>
      <c r="G10" s="6">
        <v>7.0000000000000007E-2</v>
      </c>
      <c r="H10" s="7" t="s">
        <v>29</v>
      </c>
      <c r="K10" s="2" t="s">
        <v>30</v>
      </c>
      <c r="L10" s="3" t="s">
        <v>31</v>
      </c>
      <c r="M10" s="3" t="s">
        <v>32</v>
      </c>
      <c r="N10" s="45" t="s">
        <v>273</v>
      </c>
    </row>
    <row r="11" spans="2:14" x14ac:dyDescent="0.2">
      <c r="B11" s="8" t="s">
        <v>33</v>
      </c>
      <c r="C11" s="6">
        <v>0</v>
      </c>
      <c r="D11" s="6">
        <v>0</v>
      </c>
      <c r="F11" s="2" t="s">
        <v>15</v>
      </c>
      <c r="G11" s="6">
        <v>0.06</v>
      </c>
      <c r="H11" s="7" t="s">
        <v>34</v>
      </c>
      <c r="K11" s="2" t="s">
        <v>35</v>
      </c>
      <c r="L11" s="3" t="s">
        <v>23</v>
      </c>
      <c r="M11" s="3" t="s">
        <v>32</v>
      </c>
      <c r="N11" s="45" t="s">
        <v>273</v>
      </c>
    </row>
    <row r="12" spans="2:14" x14ac:dyDescent="0.2">
      <c r="B12" s="8" t="s">
        <v>36</v>
      </c>
      <c r="C12" s="6">
        <v>1</v>
      </c>
      <c r="D12" s="6">
        <v>1</v>
      </c>
      <c r="F12" s="2" t="s">
        <v>37</v>
      </c>
      <c r="G12" s="6">
        <v>0.06</v>
      </c>
      <c r="H12" s="7" t="s">
        <v>38</v>
      </c>
      <c r="K12" s="2" t="s">
        <v>39</v>
      </c>
      <c r="L12" s="3" t="s">
        <v>18</v>
      </c>
      <c r="M12" s="3" t="s">
        <v>19</v>
      </c>
      <c r="N12" s="45" t="s">
        <v>273</v>
      </c>
    </row>
    <row r="13" spans="2:14" x14ac:dyDescent="0.2">
      <c r="B13" s="8" t="s">
        <v>40</v>
      </c>
      <c r="C13" s="6">
        <v>1.1100000000000001</v>
      </c>
      <c r="D13" s="6">
        <v>1.25</v>
      </c>
      <c r="F13" s="2" t="s">
        <v>41</v>
      </c>
      <c r="G13" s="6">
        <v>0.04</v>
      </c>
      <c r="H13" s="7" t="s">
        <v>42</v>
      </c>
      <c r="K13" s="2" t="s">
        <v>43</v>
      </c>
      <c r="L13" s="3" t="s">
        <v>23</v>
      </c>
      <c r="M13" s="3" t="s">
        <v>24</v>
      </c>
      <c r="N13" s="45" t="s">
        <v>273</v>
      </c>
    </row>
    <row r="14" spans="2:14" x14ac:dyDescent="0.2">
      <c r="B14" s="8" t="s">
        <v>44</v>
      </c>
      <c r="C14" s="6">
        <v>1.26</v>
      </c>
      <c r="D14" s="6">
        <v>1.5</v>
      </c>
      <c r="F14" s="2" t="s">
        <v>45</v>
      </c>
      <c r="G14" s="6">
        <v>0.05</v>
      </c>
      <c r="H14" s="7" t="s">
        <v>46</v>
      </c>
      <c r="K14" s="2" t="s">
        <v>47</v>
      </c>
      <c r="L14" s="3" t="s">
        <v>18</v>
      </c>
      <c r="M14" s="3" t="s">
        <v>19</v>
      </c>
      <c r="N14" s="45" t="s">
        <v>273</v>
      </c>
    </row>
    <row r="15" spans="2:14" x14ac:dyDescent="0.2">
      <c r="F15" s="9" t="s">
        <v>48</v>
      </c>
      <c r="G15" s="10">
        <f>SUM(G7:G14)</f>
        <v>1.0000000000000002</v>
      </c>
      <c r="K15" s="2" t="s">
        <v>49</v>
      </c>
      <c r="L15" s="3" t="s">
        <v>23</v>
      </c>
      <c r="M15" s="3" t="s">
        <v>19</v>
      </c>
      <c r="N15" s="45" t="s">
        <v>273</v>
      </c>
    </row>
    <row r="16" spans="2:14" x14ac:dyDescent="0.2">
      <c r="K16" s="2" t="s">
        <v>50</v>
      </c>
      <c r="L16" s="3" t="s">
        <v>31</v>
      </c>
      <c r="M16" s="3" t="s">
        <v>32</v>
      </c>
      <c r="N16" s="45" t="s">
        <v>273</v>
      </c>
    </row>
    <row r="17" spans="2:13" ht="15" customHeight="1" x14ac:dyDescent="0.2">
      <c r="F17" s="47" t="s">
        <v>51</v>
      </c>
      <c r="G17" s="47"/>
      <c r="H17" s="47"/>
    </row>
    <row r="18" spans="2:13" x14ac:dyDescent="0.2">
      <c r="F18" s="4" t="s">
        <v>52</v>
      </c>
      <c r="G18" s="4" t="s">
        <v>26</v>
      </c>
      <c r="H18" s="4" t="s">
        <v>53</v>
      </c>
    </row>
    <row r="19" spans="2:13" ht="15" customHeight="1" x14ac:dyDescent="0.2">
      <c r="B19" s="47" t="s">
        <v>54</v>
      </c>
      <c r="C19" s="47"/>
      <c r="D19" s="47"/>
      <c r="F19" s="8" t="s">
        <v>55</v>
      </c>
      <c r="G19" s="6">
        <v>0</v>
      </c>
      <c r="H19" s="11">
        <v>0</v>
      </c>
    </row>
    <row r="20" spans="2:13" x14ac:dyDescent="0.2">
      <c r="B20" s="4" t="s">
        <v>6</v>
      </c>
      <c r="C20" s="4" t="s">
        <v>56</v>
      </c>
      <c r="D20" s="4" t="s">
        <v>8</v>
      </c>
      <c r="F20" s="8" t="s">
        <v>57</v>
      </c>
      <c r="G20" s="6">
        <v>0.8</v>
      </c>
      <c r="H20" s="11">
        <v>0.75</v>
      </c>
    </row>
    <row r="21" spans="2:13" x14ac:dyDescent="0.2">
      <c r="B21" s="8" t="s">
        <v>21</v>
      </c>
      <c r="C21" s="3" t="s">
        <v>58</v>
      </c>
      <c r="D21" s="46" t="s">
        <v>275</v>
      </c>
      <c r="F21" s="8" t="s">
        <v>59</v>
      </c>
      <c r="G21" s="6">
        <v>0.95</v>
      </c>
      <c r="H21" s="11">
        <v>1</v>
      </c>
    </row>
    <row r="22" spans="2:13" x14ac:dyDescent="0.2">
      <c r="B22" s="8" t="s">
        <v>60</v>
      </c>
      <c r="C22" s="45" t="s">
        <v>132</v>
      </c>
      <c r="D22" s="46" t="s">
        <v>73</v>
      </c>
      <c r="F22" s="8" t="s">
        <v>62</v>
      </c>
      <c r="G22" s="6">
        <v>1.05</v>
      </c>
      <c r="H22" s="11">
        <v>1.1499999999999999</v>
      </c>
    </row>
    <row r="23" spans="2:13" x14ac:dyDescent="0.2">
      <c r="B23" s="8" t="s">
        <v>63</v>
      </c>
      <c r="C23" s="45" t="s">
        <v>133</v>
      </c>
      <c r="D23" s="46" t="s">
        <v>73</v>
      </c>
      <c r="F23" s="8" t="s">
        <v>65</v>
      </c>
      <c r="G23" s="6">
        <v>1.2</v>
      </c>
      <c r="H23" s="11">
        <v>1.3</v>
      </c>
    </row>
    <row r="24" spans="2:13" x14ac:dyDescent="0.2">
      <c r="B24" s="8" t="s">
        <v>66</v>
      </c>
      <c r="C24" s="45" t="s">
        <v>131</v>
      </c>
      <c r="D24" s="46" t="s">
        <v>73</v>
      </c>
    </row>
    <row r="25" spans="2:13" x14ac:dyDescent="0.2">
      <c r="B25" s="8" t="s">
        <v>68</v>
      </c>
      <c r="C25" s="3" t="s">
        <v>18</v>
      </c>
      <c r="D25" s="46" t="s">
        <v>275</v>
      </c>
    </row>
    <row r="26" spans="2:13" ht="15" customHeight="1" x14ac:dyDescent="0.2">
      <c r="B26" s="8" t="s">
        <v>69</v>
      </c>
      <c r="C26" s="3" t="s">
        <v>31</v>
      </c>
      <c r="D26" s="7" t="s">
        <v>70</v>
      </c>
      <c r="F26" s="47" t="s">
        <v>71</v>
      </c>
      <c r="G26" s="47"/>
      <c r="H26" s="47"/>
      <c r="K26" s="47" t="s">
        <v>72</v>
      </c>
      <c r="L26" s="47"/>
      <c r="M26" s="47"/>
    </row>
    <row r="27" spans="2:13" x14ac:dyDescent="0.2">
      <c r="B27" s="8" t="s">
        <v>69</v>
      </c>
      <c r="C27" s="3" t="s">
        <v>23</v>
      </c>
      <c r="D27" s="7" t="s">
        <v>73</v>
      </c>
      <c r="F27" s="4" t="s">
        <v>74</v>
      </c>
      <c r="G27" s="4" t="s">
        <v>75</v>
      </c>
      <c r="H27" s="4" t="s">
        <v>76</v>
      </c>
      <c r="K27" s="4" t="s">
        <v>74</v>
      </c>
      <c r="L27" s="4" t="s">
        <v>75</v>
      </c>
      <c r="M27" s="4" t="s">
        <v>76</v>
      </c>
    </row>
    <row r="28" spans="2:13" ht="26" x14ac:dyDescent="0.2">
      <c r="B28" s="8" t="s">
        <v>15</v>
      </c>
      <c r="C28" s="3" t="s">
        <v>19</v>
      </c>
      <c r="D28" s="46" t="s">
        <v>73</v>
      </c>
      <c r="F28" s="8" t="s">
        <v>77</v>
      </c>
      <c r="G28" s="11">
        <v>1.3</v>
      </c>
      <c r="H28" s="7" t="s">
        <v>78</v>
      </c>
      <c r="K28" s="8" t="s">
        <v>79</v>
      </c>
      <c r="L28" s="11">
        <v>1.2</v>
      </c>
      <c r="M28" s="7" t="s">
        <v>80</v>
      </c>
    </row>
    <row r="29" spans="2:13" ht="26" x14ac:dyDescent="0.2">
      <c r="B29" s="8" t="s">
        <v>15</v>
      </c>
      <c r="C29" s="3" t="s">
        <v>24</v>
      </c>
      <c r="D29" s="46" t="s">
        <v>73</v>
      </c>
      <c r="F29" s="8" t="s">
        <v>81</v>
      </c>
      <c r="G29" s="12">
        <v>0.05</v>
      </c>
      <c r="H29" s="7" t="s">
        <v>82</v>
      </c>
      <c r="K29" s="8" t="s">
        <v>83</v>
      </c>
      <c r="L29" s="11">
        <v>0.9</v>
      </c>
      <c r="M29" s="7" t="s">
        <v>84</v>
      </c>
    </row>
    <row r="30" spans="2:13" ht="26" x14ac:dyDescent="0.2">
      <c r="B30" s="8" t="s">
        <v>15</v>
      </c>
      <c r="C30" s="3" t="s">
        <v>32</v>
      </c>
      <c r="D30" s="46" t="s">
        <v>73</v>
      </c>
      <c r="F30" s="8" t="s">
        <v>85</v>
      </c>
      <c r="G30" s="11">
        <v>1.25</v>
      </c>
      <c r="H30" s="7" t="s">
        <v>86</v>
      </c>
      <c r="K30" s="8" t="s">
        <v>87</v>
      </c>
      <c r="L30" s="11">
        <v>1.1499999999999999</v>
      </c>
      <c r="M30" s="7" t="s">
        <v>88</v>
      </c>
    </row>
    <row r="31" spans="2:13" ht="28" x14ac:dyDescent="0.2">
      <c r="B31" s="8" t="s">
        <v>41</v>
      </c>
      <c r="C31" s="3" t="s">
        <v>89</v>
      </c>
      <c r="D31" s="7" t="s">
        <v>90</v>
      </c>
      <c r="F31" s="8" t="s">
        <v>91</v>
      </c>
      <c r="G31" s="11">
        <v>1.1499999999999999</v>
      </c>
      <c r="H31" s="7" t="s">
        <v>92</v>
      </c>
      <c r="K31" s="8" t="s">
        <v>93</v>
      </c>
      <c r="L31" s="11">
        <v>1.1499999999999999</v>
      </c>
      <c r="M31" s="7" t="s">
        <v>88</v>
      </c>
    </row>
    <row r="32" spans="2:13" ht="26" x14ac:dyDescent="0.2">
      <c r="B32" s="8" t="s">
        <v>28</v>
      </c>
      <c r="C32" s="45" t="s">
        <v>274</v>
      </c>
      <c r="D32" s="7" t="s">
        <v>90</v>
      </c>
      <c r="F32" s="8" t="s">
        <v>95</v>
      </c>
      <c r="G32" s="11">
        <v>1.3</v>
      </c>
      <c r="H32" s="7" t="s">
        <v>78</v>
      </c>
      <c r="K32" s="8" t="s">
        <v>96</v>
      </c>
      <c r="L32" s="11">
        <v>1</v>
      </c>
      <c r="M32" s="7" t="s">
        <v>97</v>
      </c>
    </row>
    <row r="33" spans="2:13" ht="39" x14ac:dyDescent="0.2">
      <c r="B33" s="8" t="s">
        <v>37</v>
      </c>
      <c r="C33" s="3" t="s">
        <v>98</v>
      </c>
      <c r="D33" s="7" t="s">
        <v>99</v>
      </c>
      <c r="F33" s="8" t="s">
        <v>100</v>
      </c>
      <c r="G33" s="11">
        <v>1.3</v>
      </c>
      <c r="H33" s="7" t="s">
        <v>78</v>
      </c>
      <c r="K33" s="8" t="s">
        <v>101</v>
      </c>
      <c r="L33" s="11">
        <v>3</v>
      </c>
      <c r="M33" s="7" t="s">
        <v>102</v>
      </c>
    </row>
    <row r="34" spans="2:13" x14ac:dyDescent="0.2">
      <c r="F34" s="8" t="s">
        <v>103</v>
      </c>
      <c r="G34" s="13">
        <v>12</v>
      </c>
      <c r="H34" s="7" t="s">
        <v>104</v>
      </c>
    </row>
    <row r="35" spans="2:13" x14ac:dyDescent="0.2">
      <c r="F35" s="8" t="s">
        <v>105</v>
      </c>
      <c r="G35" s="11">
        <v>1</v>
      </c>
      <c r="H35" s="7" t="s">
        <v>106</v>
      </c>
    </row>
  </sheetData>
  <mergeCells count="10">
    <mergeCell ref="B2:F2"/>
    <mergeCell ref="B3:F3"/>
    <mergeCell ref="B5:D5"/>
    <mergeCell ref="F5:H5"/>
    <mergeCell ref="K6:N6"/>
    <mergeCell ref="B9:D9"/>
    <mergeCell ref="F17:H17"/>
    <mergeCell ref="B19:D19"/>
    <mergeCell ref="F26:H26"/>
    <mergeCell ref="K26:M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L37"/>
  <sheetViews>
    <sheetView showGridLines="0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L10" sqref="L10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3" width="10" customWidth="1"/>
    <col min="4" max="4" width="11" customWidth="1"/>
    <col min="5" max="64" width="10" customWidth="1"/>
  </cols>
  <sheetData>
    <row r="2" spans="2:64" ht="18" x14ac:dyDescent="0.2">
      <c r="B2" s="51" t="s">
        <v>107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</row>
    <row r="3" spans="2:64" x14ac:dyDescent="0.2">
      <c r="B3" s="49" t="s">
        <v>108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</row>
    <row r="5" spans="2:64" ht="19.5" customHeight="1" x14ac:dyDescent="0.2">
      <c r="E5" s="52" t="s">
        <v>109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 t="s">
        <v>110</v>
      </c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 t="s">
        <v>111</v>
      </c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 t="s">
        <v>112</v>
      </c>
      <c r="BI5" s="52"/>
      <c r="BJ5" s="52"/>
      <c r="BK5" s="52"/>
      <c r="BL5" s="52"/>
    </row>
    <row r="6" spans="2:64" ht="21.75" customHeight="1" x14ac:dyDescent="0.2">
      <c r="E6" s="50" t="s">
        <v>77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 t="s">
        <v>113</v>
      </c>
      <c r="Q6" s="50"/>
      <c r="R6" s="50"/>
      <c r="S6" s="50"/>
      <c r="T6" s="50"/>
      <c r="U6" s="50"/>
      <c r="V6" s="50"/>
      <c r="W6" s="50"/>
      <c r="X6" s="50"/>
      <c r="Y6" s="50"/>
      <c r="Z6" s="50"/>
      <c r="AA6" s="50" t="s">
        <v>91</v>
      </c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 t="s">
        <v>100</v>
      </c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 t="s">
        <v>95</v>
      </c>
      <c r="AX6" s="50"/>
      <c r="AY6" s="50"/>
      <c r="AZ6" s="50"/>
      <c r="BA6" s="50"/>
      <c r="BB6" s="50"/>
      <c r="BC6" s="50"/>
      <c r="BD6" s="50"/>
      <c r="BE6" s="50"/>
      <c r="BF6" s="50"/>
      <c r="BG6" s="50"/>
    </row>
    <row r="7" spans="2:64" ht="27.75" customHeight="1" x14ac:dyDescent="0.2">
      <c r="B7" s="4" t="s">
        <v>13</v>
      </c>
      <c r="C7" s="4" t="s">
        <v>114</v>
      </c>
      <c r="D7" s="4" t="s">
        <v>115</v>
      </c>
      <c r="E7" s="14" t="s">
        <v>116</v>
      </c>
      <c r="F7" s="4" t="s">
        <v>117</v>
      </c>
      <c r="G7" s="4" t="s">
        <v>118</v>
      </c>
      <c r="H7" s="4" t="s">
        <v>119</v>
      </c>
      <c r="I7" s="4" t="s">
        <v>120</v>
      </c>
      <c r="J7" s="4" t="s">
        <v>121</v>
      </c>
      <c r="K7" s="4" t="s">
        <v>122</v>
      </c>
      <c r="L7" s="4" t="s">
        <v>123</v>
      </c>
      <c r="M7" s="4" t="s">
        <v>124</v>
      </c>
      <c r="N7" s="4" t="s">
        <v>125</v>
      </c>
      <c r="O7" s="4" t="s">
        <v>126</v>
      </c>
      <c r="P7" s="14" t="s">
        <v>116</v>
      </c>
      <c r="Q7" s="4" t="s">
        <v>117</v>
      </c>
      <c r="R7" s="4" t="s">
        <v>118</v>
      </c>
      <c r="S7" s="4" t="s">
        <v>119</v>
      </c>
      <c r="T7" s="4" t="s">
        <v>120</v>
      </c>
      <c r="U7" s="4" t="s">
        <v>121</v>
      </c>
      <c r="V7" s="4" t="s">
        <v>122</v>
      </c>
      <c r="W7" s="4" t="s">
        <v>123</v>
      </c>
      <c r="X7" s="4" t="s">
        <v>124</v>
      </c>
      <c r="Y7" s="4" t="s">
        <v>125</v>
      </c>
      <c r="Z7" s="4" t="s">
        <v>126</v>
      </c>
      <c r="AA7" s="14" t="s">
        <v>116</v>
      </c>
      <c r="AB7" s="4" t="s">
        <v>117</v>
      </c>
      <c r="AC7" s="4" t="s">
        <v>118</v>
      </c>
      <c r="AD7" s="4" t="s">
        <v>119</v>
      </c>
      <c r="AE7" s="4" t="s">
        <v>120</v>
      </c>
      <c r="AF7" s="4" t="s">
        <v>121</v>
      </c>
      <c r="AG7" s="4" t="s">
        <v>122</v>
      </c>
      <c r="AH7" s="4" t="s">
        <v>123</v>
      </c>
      <c r="AI7" s="4" t="s">
        <v>124</v>
      </c>
      <c r="AJ7" s="4" t="s">
        <v>125</v>
      </c>
      <c r="AK7" s="4" t="s">
        <v>126</v>
      </c>
      <c r="AL7" s="14" t="s">
        <v>116</v>
      </c>
      <c r="AM7" s="4" t="s">
        <v>117</v>
      </c>
      <c r="AN7" s="4" t="s">
        <v>118</v>
      </c>
      <c r="AO7" s="4" t="s">
        <v>119</v>
      </c>
      <c r="AP7" s="4" t="s">
        <v>120</v>
      </c>
      <c r="AQ7" s="4" t="s">
        <v>121</v>
      </c>
      <c r="AR7" s="4" t="s">
        <v>122</v>
      </c>
      <c r="AS7" s="4" t="s">
        <v>123</v>
      </c>
      <c r="AT7" s="4" t="s">
        <v>124</v>
      </c>
      <c r="AU7" s="4" t="s">
        <v>125</v>
      </c>
      <c r="AV7" s="4" t="s">
        <v>126</v>
      </c>
      <c r="AW7" s="14" t="s">
        <v>116</v>
      </c>
      <c r="AX7" s="4" t="s">
        <v>117</v>
      </c>
      <c r="AY7" s="4" t="s">
        <v>118</v>
      </c>
      <c r="AZ7" s="4" t="s">
        <v>119</v>
      </c>
      <c r="BA7" s="4" t="s">
        <v>120</v>
      </c>
      <c r="BB7" s="4" t="s">
        <v>121</v>
      </c>
      <c r="BC7" s="4" t="s">
        <v>122</v>
      </c>
      <c r="BD7" s="4" t="s">
        <v>123</v>
      </c>
      <c r="BE7" s="4" t="s">
        <v>124</v>
      </c>
      <c r="BF7" s="4" t="s">
        <v>125</v>
      </c>
      <c r="BG7" s="4" t="s">
        <v>126</v>
      </c>
      <c r="BH7" s="4" t="s">
        <v>127</v>
      </c>
      <c r="BI7" s="4" t="s">
        <v>128</v>
      </c>
      <c r="BJ7" s="4" t="s">
        <v>129</v>
      </c>
      <c r="BK7" s="4" t="s">
        <v>130</v>
      </c>
      <c r="BL7" s="4" t="s">
        <v>53</v>
      </c>
    </row>
    <row r="8" spans="2:64" x14ac:dyDescent="0.2">
      <c r="B8" s="2" t="s">
        <v>17</v>
      </c>
      <c r="C8" s="3" t="s">
        <v>131</v>
      </c>
      <c r="D8" s="13">
        <v>13900</v>
      </c>
      <c r="E8" s="15">
        <v>109798</v>
      </c>
      <c r="F8" s="16">
        <f t="shared" ref="F8:F16" si="0">E8*1.3</f>
        <v>142737.4</v>
      </c>
      <c r="G8" s="13">
        <v>163445</v>
      </c>
      <c r="H8" s="17">
        <f t="shared" ref="H8:H16" si="1">IFERROR(G8/F8,0)</f>
        <v>1.145074801698784</v>
      </c>
      <c r="I8" s="16">
        <f t="shared" ref="I8:I16" si="2">F8*1.3</f>
        <v>185558.62</v>
      </c>
      <c r="J8" s="13"/>
      <c r="K8" s="17">
        <f t="shared" ref="K8:K16" si="3">IFERROR(J8/I8,0)</f>
        <v>0</v>
      </c>
      <c r="L8" s="16">
        <f t="shared" ref="L8:L16" si="4">I8*1.3</f>
        <v>241226.20600000001</v>
      </c>
      <c r="M8" s="13"/>
      <c r="N8" s="17">
        <f t="shared" ref="N8:N16" si="5">IFERROR(M8/L8,0)</f>
        <v>0</v>
      </c>
      <c r="O8" s="17">
        <f t="shared" ref="O8:O16" si="6">AVERAGE(H8,K8,N8)</f>
        <v>0.38169160056626134</v>
      </c>
      <c r="P8" s="15">
        <v>250834</v>
      </c>
      <c r="Q8" s="16">
        <f t="shared" ref="Q8:Q16" si="7">P8*1.3</f>
        <v>326084.2</v>
      </c>
      <c r="R8" s="13">
        <v>222618</v>
      </c>
      <c r="S8" s="17">
        <f t="shared" ref="S8:S16" si="8">IFERROR(R8/Q8,0)</f>
        <v>0.68270097109887562</v>
      </c>
      <c r="T8" s="16">
        <f t="shared" ref="T8:T16" si="9">Q8*1.3</f>
        <v>423909.46</v>
      </c>
      <c r="U8" s="13"/>
      <c r="V8" s="17">
        <f t="shared" ref="V8:V16" si="10">IFERROR(U8/T8,0)</f>
        <v>0</v>
      </c>
      <c r="W8" s="16">
        <f t="shared" ref="W8:W16" si="11">T8*1.3</f>
        <v>551082.29800000007</v>
      </c>
      <c r="X8" s="13"/>
      <c r="Y8" s="17">
        <f t="shared" ref="Y8:Y16" si="12">IFERROR(X8/W8,0)</f>
        <v>0</v>
      </c>
      <c r="Z8" s="17">
        <f t="shared" ref="Z8:Z16" si="13">AVERAGE(S8,V8,Y8)</f>
        <v>0.22756699036629188</v>
      </c>
      <c r="AA8" s="15">
        <v>34</v>
      </c>
      <c r="AB8" s="16">
        <f t="shared" ref="AB8:AB16" si="14">AA8*1.3</f>
        <v>44.2</v>
      </c>
      <c r="AC8" s="13">
        <v>29</v>
      </c>
      <c r="AD8" s="17">
        <f t="shared" ref="AD8:AD16" si="15">IFERROR(AC8/AB8,0)</f>
        <v>0.65610859728506787</v>
      </c>
      <c r="AE8" s="16">
        <f t="shared" ref="AE8:AE16" si="16">AB8*1.3</f>
        <v>57.460000000000008</v>
      </c>
      <c r="AF8" s="13"/>
      <c r="AG8" s="17">
        <f t="shared" ref="AG8:AG16" si="17">IFERROR(AF8/AE8,0)</f>
        <v>0</v>
      </c>
      <c r="AH8" s="16">
        <f t="shared" ref="AH8:AH16" si="18">AE8*1.3</f>
        <v>74.698000000000008</v>
      </c>
      <c r="AI8" s="13"/>
      <c r="AJ8" s="17">
        <f t="shared" ref="AJ8:AJ16" si="19">IFERROR(AI8/AH8,0)</f>
        <v>0</v>
      </c>
      <c r="AK8" s="17">
        <f t="shared" ref="AK8:AK16" si="20">AVERAGE(AD8,AG8,AJ8)</f>
        <v>0.21870286576168929</v>
      </c>
      <c r="AL8" s="15">
        <v>1041</v>
      </c>
      <c r="AM8" s="16">
        <f t="shared" ref="AM8:AM16" si="21">AL8*1.3</f>
        <v>1353.3</v>
      </c>
      <c r="AN8" s="13">
        <v>465</v>
      </c>
      <c r="AO8" s="17">
        <f t="shared" ref="AO8:AO16" si="22">IFERROR(AN8/AM8,0)</f>
        <v>0.34360452227887389</v>
      </c>
      <c r="AP8" s="16">
        <f t="shared" ref="AP8:AP16" si="23">AM8*1.3</f>
        <v>1759.29</v>
      </c>
      <c r="AQ8" s="13"/>
      <c r="AR8" s="17">
        <f t="shared" ref="AR8:AR16" si="24">IFERROR(AQ8/AP8,0)</f>
        <v>0</v>
      </c>
      <c r="AS8" s="16">
        <f t="shared" ref="AS8:AS16" si="25">AP8*1.3</f>
        <v>2287.0770000000002</v>
      </c>
      <c r="AT8" s="13"/>
      <c r="AU8" s="17">
        <f t="shared" ref="AU8:AU16" si="26">IFERROR(AT8/AS8,0)</f>
        <v>0</v>
      </c>
      <c r="AV8" s="17">
        <f t="shared" ref="AV8:AV16" si="27">AVERAGE(AO8,AR8,AU8)</f>
        <v>0.11453484075962463</v>
      </c>
      <c r="AW8" s="15">
        <v>90</v>
      </c>
      <c r="AX8" s="16">
        <f t="shared" ref="AX8:AX16" si="28">AW8*1.3</f>
        <v>117</v>
      </c>
      <c r="AY8" s="13">
        <v>132</v>
      </c>
      <c r="AZ8" s="17">
        <f t="shared" ref="AZ8:AZ16" si="29">IFERROR(AY8/AX8,0)</f>
        <v>1.1282051282051282</v>
      </c>
      <c r="BA8" s="16">
        <f t="shared" ref="BA8:BA16" si="30">AX8*1.3</f>
        <v>152.1</v>
      </c>
      <c r="BB8" s="13"/>
      <c r="BC8" s="17">
        <f t="shared" ref="BC8:BC16" si="31">IFERROR(BB8/BA8,0)</f>
        <v>0</v>
      </c>
      <c r="BD8" s="16">
        <f t="shared" ref="BD8:BD16" si="32">BA8*1.3</f>
        <v>197.73</v>
      </c>
      <c r="BE8" s="13"/>
      <c r="BF8" s="17">
        <f t="shared" ref="BF8:BF16" si="33">IFERROR(BE8/BD8,0)</f>
        <v>0</v>
      </c>
      <c r="BG8" s="17">
        <f t="shared" ref="BG8:BG16" si="34">AVERAGE(AZ8,BC8,BF8)</f>
        <v>0.37606837606837606</v>
      </c>
      <c r="BH8" s="17">
        <f t="shared" ref="BH8:BH16" si="35">AVERAGE(O8,Z8)</f>
        <v>0.3046292954662766</v>
      </c>
      <c r="BI8" s="17">
        <f t="shared" ref="BI8:BI16" si="36">AVERAGE(AV8,BG8)</f>
        <v>0.24530160841400034</v>
      </c>
      <c r="BJ8" s="17">
        <f t="shared" ref="BJ8:BJ16" si="37">AK8</f>
        <v>0.21870286576168929</v>
      </c>
      <c r="BK8" s="10">
        <f t="shared" ref="BK8:BK16" si="38">BH8*0.6+BI8*0.25+BJ8*0.15</f>
        <v>0.27690840924751942</v>
      </c>
      <c r="BL8" s="18">
        <f>IFERROR(LOOKUP(BK8,'Setup &amp; Assumptions'!$G$19:$G$23,'Setup &amp; Assumptions'!$H$19:$H$23),0)</f>
        <v>0</v>
      </c>
    </row>
    <row r="9" spans="2:64" x14ac:dyDescent="0.2">
      <c r="B9" s="2" t="s">
        <v>22</v>
      </c>
      <c r="C9" s="3" t="s">
        <v>131</v>
      </c>
      <c r="D9" s="13">
        <v>160</v>
      </c>
      <c r="E9" s="15">
        <v>160</v>
      </c>
      <c r="F9" s="16">
        <f t="shared" si="0"/>
        <v>208</v>
      </c>
      <c r="G9" s="13"/>
      <c r="H9" s="17">
        <f t="shared" si="1"/>
        <v>0</v>
      </c>
      <c r="I9" s="16">
        <f t="shared" si="2"/>
        <v>270.40000000000003</v>
      </c>
      <c r="J9" s="13"/>
      <c r="K9" s="17">
        <f t="shared" si="3"/>
        <v>0</v>
      </c>
      <c r="L9" s="16">
        <f t="shared" si="4"/>
        <v>351.52000000000004</v>
      </c>
      <c r="M9" s="13"/>
      <c r="N9" s="17">
        <f t="shared" si="5"/>
        <v>0</v>
      </c>
      <c r="O9" s="17">
        <f t="shared" si="6"/>
        <v>0</v>
      </c>
      <c r="P9" s="15">
        <v>0</v>
      </c>
      <c r="Q9" s="16">
        <f t="shared" si="7"/>
        <v>0</v>
      </c>
      <c r="R9" s="13"/>
      <c r="S9" s="17">
        <f t="shared" si="8"/>
        <v>0</v>
      </c>
      <c r="T9" s="16">
        <f t="shared" si="9"/>
        <v>0</v>
      </c>
      <c r="U9" s="13"/>
      <c r="V9" s="17">
        <f t="shared" si="10"/>
        <v>0</v>
      </c>
      <c r="W9" s="16">
        <f t="shared" si="11"/>
        <v>0</v>
      </c>
      <c r="X9" s="13"/>
      <c r="Y9" s="17">
        <f t="shared" si="12"/>
        <v>0</v>
      </c>
      <c r="Z9" s="17">
        <f t="shared" si="13"/>
        <v>0</v>
      </c>
      <c r="AA9" s="15">
        <v>0</v>
      </c>
      <c r="AB9" s="16">
        <f t="shared" si="14"/>
        <v>0</v>
      </c>
      <c r="AC9" s="13"/>
      <c r="AD9" s="17">
        <f t="shared" si="15"/>
        <v>0</v>
      </c>
      <c r="AE9" s="16">
        <f t="shared" si="16"/>
        <v>0</v>
      </c>
      <c r="AF9" s="13"/>
      <c r="AG9" s="17">
        <f t="shared" si="17"/>
        <v>0</v>
      </c>
      <c r="AH9" s="16">
        <f t="shared" si="18"/>
        <v>0</v>
      </c>
      <c r="AI9" s="13"/>
      <c r="AJ9" s="17">
        <f t="shared" si="19"/>
        <v>0</v>
      </c>
      <c r="AK9" s="17">
        <f t="shared" si="20"/>
        <v>0</v>
      </c>
      <c r="AL9" s="15">
        <v>0</v>
      </c>
      <c r="AM9" s="16">
        <f t="shared" si="21"/>
        <v>0</v>
      </c>
      <c r="AN9" s="13"/>
      <c r="AO9" s="17">
        <f t="shared" si="22"/>
        <v>0</v>
      </c>
      <c r="AP9" s="16">
        <f t="shared" si="23"/>
        <v>0</v>
      </c>
      <c r="AQ9" s="13"/>
      <c r="AR9" s="17">
        <f t="shared" si="24"/>
        <v>0</v>
      </c>
      <c r="AS9" s="16">
        <f t="shared" si="25"/>
        <v>0</v>
      </c>
      <c r="AT9" s="13"/>
      <c r="AU9" s="17">
        <f t="shared" si="26"/>
        <v>0</v>
      </c>
      <c r="AV9" s="17">
        <f t="shared" si="27"/>
        <v>0</v>
      </c>
      <c r="AW9" s="15">
        <v>0</v>
      </c>
      <c r="AX9" s="16">
        <f t="shared" si="28"/>
        <v>0</v>
      </c>
      <c r="AY9" s="13"/>
      <c r="AZ9" s="17">
        <f t="shared" si="29"/>
        <v>0</v>
      </c>
      <c r="BA9" s="16">
        <f t="shared" si="30"/>
        <v>0</v>
      </c>
      <c r="BB9" s="13"/>
      <c r="BC9" s="17">
        <f t="shared" si="31"/>
        <v>0</v>
      </c>
      <c r="BD9" s="16">
        <f t="shared" si="32"/>
        <v>0</v>
      </c>
      <c r="BE9" s="13"/>
      <c r="BF9" s="17">
        <f t="shared" si="33"/>
        <v>0</v>
      </c>
      <c r="BG9" s="17">
        <f t="shared" si="34"/>
        <v>0</v>
      </c>
      <c r="BH9" s="17">
        <f t="shared" si="35"/>
        <v>0</v>
      </c>
      <c r="BI9" s="17">
        <f t="shared" si="36"/>
        <v>0</v>
      </c>
      <c r="BJ9" s="17">
        <f t="shared" si="37"/>
        <v>0</v>
      </c>
      <c r="BK9" s="10">
        <f t="shared" si="38"/>
        <v>0</v>
      </c>
      <c r="BL9" s="18">
        <f>IFERROR(LOOKUP(BK9,'Setup &amp; Assumptions'!$G$19:$G$23,'Setup &amp; Assumptions'!$H$19:$H$23),0)</f>
        <v>0</v>
      </c>
    </row>
    <row r="10" spans="2:64" x14ac:dyDescent="0.2">
      <c r="B10" s="2" t="s">
        <v>30</v>
      </c>
      <c r="C10" s="3" t="s">
        <v>132</v>
      </c>
      <c r="D10" s="13">
        <v>32900</v>
      </c>
      <c r="E10" s="15">
        <v>56671</v>
      </c>
      <c r="F10" s="16">
        <f t="shared" si="0"/>
        <v>73672.3</v>
      </c>
      <c r="G10" s="13">
        <v>104372</v>
      </c>
      <c r="H10" s="17">
        <f t="shared" si="1"/>
        <v>1.4167061432858754</v>
      </c>
      <c r="I10" s="16">
        <f t="shared" si="2"/>
        <v>95773.99</v>
      </c>
      <c r="J10" s="13"/>
      <c r="K10" s="17">
        <f t="shared" si="3"/>
        <v>0</v>
      </c>
      <c r="L10" s="16">
        <f t="shared" si="4"/>
        <v>124506.18700000001</v>
      </c>
      <c r="M10" s="13"/>
      <c r="N10" s="17">
        <f t="shared" si="5"/>
        <v>0</v>
      </c>
      <c r="O10" s="17">
        <f t="shared" si="6"/>
        <v>0.47223538109529178</v>
      </c>
      <c r="P10" s="15">
        <v>122945</v>
      </c>
      <c r="Q10" s="16">
        <f t="shared" si="7"/>
        <v>159828.5</v>
      </c>
      <c r="R10" s="13">
        <v>154624</v>
      </c>
      <c r="S10" s="17">
        <f t="shared" si="8"/>
        <v>0.96743697150383068</v>
      </c>
      <c r="T10" s="16">
        <f t="shared" si="9"/>
        <v>207777.05000000002</v>
      </c>
      <c r="U10" s="13"/>
      <c r="V10" s="17">
        <f t="shared" si="10"/>
        <v>0</v>
      </c>
      <c r="W10" s="16">
        <f t="shared" si="11"/>
        <v>270110.16500000004</v>
      </c>
      <c r="X10" s="13"/>
      <c r="Y10" s="17">
        <f t="shared" si="12"/>
        <v>0</v>
      </c>
      <c r="Z10" s="17">
        <f t="shared" si="13"/>
        <v>0.32247899050127687</v>
      </c>
      <c r="AA10" s="15">
        <v>10</v>
      </c>
      <c r="AB10" s="16">
        <f t="shared" si="14"/>
        <v>13</v>
      </c>
      <c r="AC10" s="13">
        <v>24</v>
      </c>
      <c r="AD10" s="17">
        <f t="shared" si="15"/>
        <v>1.8461538461538463</v>
      </c>
      <c r="AE10" s="16">
        <f t="shared" si="16"/>
        <v>16.900000000000002</v>
      </c>
      <c r="AF10" s="13"/>
      <c r="AG10" s="17">
        <f t="shared" si="17"/>
        <v>0</v>
      </c>
      <c r="AH10" s="16">
        <f t="shared" si="18"/>
        <v>21.970000000000002</v>
      </c>
      <c r="AI10" s="13"/>
      <c r="AJ10" s="17">
        <f t="shared" si="19"/>
        <v>0</v>
      </c>
      <c r="AK10" s="17">
        <f t="shared" si="20"/>
        <v>0.61538461538461542</v>
      </c>
      <c r="AL10" s="15">
        <v>120</v>
      </c>
      <c r="AM10" s="16">
        <f t="shared" si="21"/>
        <v>156</v>
      </c>
      <c r="AN10" s="13">
        <v>532</v>
      </c>
      <c r="AO10" s="17">
        <f t="shared" si="22"/>
        <v>3.4102564102564101</v>
      </c>
      <c r="AP10" s="16">
        <f t="shared" si="23"/>
        <v>202.8</v>
      </c>
      <c r="AQ10" s="13"/>
      <c r="AR10" s="17">
        <f t="shared" si="24"/>
        <v>0</v>
      </c>
      <c r="AS10" s="16">
        <f t="shared" si="25"/>
        <v>263.64000000000004</v>
      </c>
      <c r="AT10" s="13"/>
      <c r="AU10" s="17">
        <f t="shared" si="26"/>
        <v>0</v>
      </c>
      <c r="AV10" s="17">
        <f t="shared" si="27"/>
        <v>1.1367521367521367</v>
      </c>
      <c r="AW10" s="15">
        <v>80</v>
      </c>
      <c r="AX10" s="16">
        <f t="shared" si="28"/>
        <v>104</v>
      </c>
      <c r="AY10" s="13">
        <v>224</v>
      </c>
      <c r="AZ10" s="17">
        <f t="shared" si="29"/>
        <v>2.1538461538461537</v>
      </c>
      <c r="BA10" s="16">
        <f t="shared" si="30"/>
        <v>135.20000000000002</v>
      </c>
      <c r="BB10" s="13"/>
      <c r="BC10" s="17">
        <f t="shared" si="31"/>
        <v>0</v>
      </c>
      <c r="BD10" s="16">
        <f t="shared" si="32"/>
        <v>175.76000000000002</v>
      </c>
      <c r="BE10" s="13"/>
      <c r="BF10" s="17">
        <f t="shared" si="33"/>
        <v>0</v>
      </c>
      <c r="BG10" s="17">
        <f t="shared" si="34"/>
        <v>0.71794871794871795</v>
      </c>
      <c r="BH10" s="17">
        <f t="shared" si="35"/>
        <v>0.39735718579828433</v>
      </c>
      <c r="BI10" s="17">
        <f t="shared" si="36"/>
        <v>0.92735042735042739</v>
      </c>
      <c r="BJ10" s="17">
        <f t="shared" si="37"/>
        <v>0.61538461538461542</v>
      </c>
      <c r="BK10" s="10">
        <f t="shared" si="38"/>
        <v>0.56255961062426973</v>
      </c>
      <c r="BL10" s="18">
        <f>IFERROR(LOOKUP(BK10,'Setup &amp; Assumptions'!$G$19:$G$23,'Setup &amp; Assumptions'!$H$19:$H$23),0)</f>
        <v>0</v>
      </c>
    </row>
    <row r="11" spans="2:64" x14ac:dyDescent="0.2">
      <c r="B11" s="2" t="s">
        <v>35</v>
      </c>
      <c r="C11" s="3" t="s">
        <v>133</v>
      </c>
      <c r="D11" s="13">
        <v>15500</v>
      </c>
      <c r="E11" s="15">
        <v>30182</v>
      </c>
      <c r="F11" s="16">
        <f t="shared" si="0"/>
        <v>39236.6</v>
      </c>
      <c r="G11" s="13">
        <v>13248</v>
      </c>
      <c r="H11" s="17">
        <f t="shared" si="1"/>
        <v>0.33764393448973662</v>
      </c>
      <c r="I11" s="16">
        <f t="shared" si="2"/>
        <v>51007.58</v>
      </c>
      <c r="J11" s="13"/>
      <c r="K11" s="17">
        <f t="shared" si="3"/>
        <v>0</v>
      </c>
      <c r="L11" s="16">
        <f t="shared" si="4"/>
        <v>66309.854000000007</v>
      </c>
      <c r="M11" s="13"/>
      <c r="N11" s="17">
        <f t="shared" si="5"/>
        <v>0</v>
      </c>
      <c r="O11" s="17">
        <f t="shared" si="6"/>
        <v>0.11254797816324554</v>
      </c>
      <c r="P11" s="15">
        <v>64215</v>
      </c>
      <c r="Q11" s="16">
        <f t="shared" si="7"/>
        <v>83479.5</v>
      </c>
      <c r="R11" s="13">
        <v>43771</v>
      </c>
      <c r="S11" s="17">
        <f t="shared" si="8"/>
        <v>0.52433232110877526</v>
      </c>
      <c r="T11" s="16">
        <f t="shared" si="9"/>
        <v>108523.35</v>
      </c>
      <c r="U11" s="13"/>
      <c r="V11" s="17">
        <f t="shared" si="10"/>
        <v>0</v>
      </c>
      <c r="W11" s="16">
        <f t="shared" si="11"/>
        <v>141080.35500000001</v>
      </c>
      <c r="X11" s="13"/>
      <c r="Y11" s="17">
        <f t="shared" si="12"/>
        <v>0</v>
      </c>
      <c r="Z11" s="17">
        <f t="shared" si="13"/>
        <v>0.17477744036959175</v>
      </c>
      <c r="AA11" s="15">
        <v>6</v>
      </c>
      <c r="AB11" s="16">
        <f t="shared" si="14"/>
        <v>7.8000000000000007</v>
      </c>
      <c r="AC11" s="13">
        <v>11</v>
      </c>
      <c r="AD11" s="17">
        <f t="shared" si="15"/>
        <v>1.4102564102564101</v>
      </c>
      <c r="AE11" s="16">
        <f t="shared" si="16"/>
        <v>10.14</v>
      </c>
      <c r="AF11" s="13"/>
      <c r="AG11" s="17">
        <f t="shared" si="17"/>
        <v>0</v>
      </c>
      <c r="AH11" s="16">
        <f t="shared" si="18"/>
        <v>13.182</v>
      </c>
      <c r="AI11" s="13"/>
      <c r="AJ11" s="17">
        <f t="shared" si="19"/>
        <v>0</v>
      </c>
      <c r="AK11" s="17">
        <f t="shared" si="20"/>
        <v>0.47008547008547003</v>
      </c>
      <c r="AL11" s="15">
        <v>104</v>
      </c>
      <c r="AM11" s="16">
        <f t="shared" si="21"/>
        <v>135.20000000000002</v>
      </c>
      <c r="AN11" s="13">
        <v>178</v>
      </c>
      <c r="AO11" s="17">
        <f t="shared" si="22"/>
        <v>1.3165680473372778</v>
      </c>
      <c r="AP11" s="16">
        <f t="shared" si="23"/>
        <v>175.76000000000002</v>
      </c>
      <c r="AQ11" s="13"/>
      <c r="AR11" s="17">
        <f t="shared" si="24"/>
        <v>0</v>
      </c>
      <c r="AS11" s="16">
        <f t="shared" si="25"/>
        <v>228.48800000000003</v>
      </c>
      <c r="AT11" s="13"/>
      <c r="AU11" s="17">
        <f t="shared" si="26"/>
        <v>0</v>
      </c>
      <c r="AV11" s="17">
        <f t="shared" si="27"/>
        <v>0.43885601577909261</v>
      </c>
      <c r="AW11" s="15">
        <v>33</v>
      </c>
      <c r="AX11" s="16">
        <f t="shared" si="28"/>
        <v>42.9</v>
      </c>
      <c r="AY11" s="13">
        <v>28</v>
      </c>
      <c r="AZ11" s="17">
        <f t="shared" si="29"/>
        <v>0.65268065268065267</v>
      </c>
      <c r="BA11" s="16">
        <f t="shared" si="30"/>
        <v>55.77</v>
      </c>
      <c r="BB11" s="13"/>
      <c r="BC11" s="17">
        <f t="shared" si="31"/>
        <v>0</v>
      </c>
      <c r="BD11" s="16">
        <f t="shared" si="32"/>
        <v>72.501000000000005</v>
      </c>
      <c r="BE11" s="13"/>
      <c r="BF11" s="17">
        <f t="shared" si="33"/>
        <v>0</v>
      </c>
      <c r="BG11" s="17">
        <f t="shared" si="34"/>
        <v>0.21756021756021757</v>
      </c>
      <c r="BH11" s="17">
        <f t="shared" si="35"/>
        <v>0.14366270926641864</v>
      </c>
      <c r="BI11" s="17">
        <f t="shared" si="36"/>
        <v>0.3282081166696551</v>
      </c>
      <c r="BJ11" s="17">
        <f t="shared" si="37"/>
        <v>0.47008547008547003</v>
      </c>
      <c r="BK11" s="10">
        <f t="shared" si="38"/>
        <v>0.23876247524008543</v>
      </c>
      <c r="BL11" s="18">
        <f>IFERROR(LOOKUP(BK11,'Setup &amp; Assumptions'!$G$19:$G$23,'Setup &amp; Assumptions'!$H$19:$H$23),0)</f>
        <v>0</v>
      </c>
    </row>
    <row r="12" spans="2:64" x14ac:dyDescent="0.2">
      <c r="B12" s="2" t="s">
        <v>39</v>
      </c>
      <c r="C12" s="3" t="s">
        <v>132</v>
      </c>
      <c r="D12" s="13">
        <v>30600</v>
      </c>
      <c r="E12" s="15">
        <v>55249</v>
      </c>
      <c r="F12" s="16">
        <f t="shared" si="0"/>
        <v>71823.7</v>
      </c>
      <c r="G12" s="13">
        <v>61278</v>
      </c>
      <c r="H12" s="17">
        <f t="shared" si="1"/>
        <v>0.85317242080260414</v>
      </c>
      <c r="I12" s="16">
        <f t="shared" si="2"/>
        <v>93370.81</v>
      </c>
      <c r="J12" s="13"/>
      <c r="K12" s="17">
        <f t="shared" si="3"/>
        <v>0</v>
      </c>
      <c r="L12" s="16">
        <f t="shared" si="4"/>
        <v>121382.053</v>
      </c>
      <c r="M12" s="13"/>
      <c r="N12" s="17">
        <f t="shared" si="5"/>
        <v>0</v>
      </c>
      <c r="O12" s="17">
        <f t="shared" si="6"/>
        <v>0.28439080693420138</v>
      </c>
      <c r="P12" s="15">
        <v>174106</v>
      </c>
      <c r="Q12" s="16">
        <f t="shared" si="7"/>
        <v>226337.80000000002</v>
      </c>
      <c r="R12" s="13">
        <v>87974</v>
      </c>
      <c r="S12" s="17">
        <f t="shared" si="8"/>
        <v>0.38868452375166673</v>
      </c>
      <c r="T12" s="16">
        <f t="shared" si="9"/>
        <v>294239.14</v>
      </c>
      <c r="U12" s="13"/>
      <c r="V12" s="17">
        <f t="shared" si="10"/>
        <v>0</v>
      </c>
      <c r="W12" s="16">
        <f t="shared" si="11"/>
        <v>382510.88200000004</v>
      </c>
      <c r="X12" s="13"/>
      <c r="Y12" s="17">
        <f t="shared" si="12"/>
        <v>0</v>
      </c>
      <c r="Z12" s="17">
        <f t="shared" si="13"/>
        <v>0.12956150791722224</v>
      </c>
      <c r="AA12" s="15">
        <v>13</v>
      </c>
      <c r="AB12" s="16">
        <f t="shared" si="14"/>
        <v>16.900000000000002</v>
      </c>
      <c r="AC12" s="13">
        <v>21</v>
      </c>
      <c r="AD12" s="17">
        <f t="shared" si="15"/>
        <v>1.2426035502958579</v>
      </c>
      <c r="AE12" s="16">
        <f t="shared" si="16"/>
        <v>21.970000000000002</v>
      </c>
      <c r="AF12" s="13"/>
      <c r="AG12" s="17">
        <f t="shared" si="17"/>
        <v>0</v>
      </c>
      <c r="AH12" s="16">
        <f t="shared" si="18"/>
        <v>28.561000000000003</v>
      </c>
      <c r="AI12" s="13"/>
      <c r="AJ12" s="17">
        <f t="shared" si="19"/>
        <v>0</v>
      </c>
      <c r="AK12" s="17">
        <f t="shared" si="20"/>
        <v>0.41420118343195261</v>
      </c>
      <c r="AL12" s="15">
        <v>140</v>
      </c>
      <c r="AM12" s="16">
        <f t="shared" si="21"/>
        <v>182</v>
      </c>
      <c r="AN12" s="13">
        <v>189</v>
      </c>
      <c r="AO12" s="17">
        <f t="shared" si="22"/>
        <v>1.0384615384615385</v>
      </c>
      <c r="AP12" s="16">
        <f t="shared" si="23"/>
        <v>236.6</v>
      </c>
      <c r="AQ12" s="13"/>
      <c r="AR12" s="17">
        <f t="shared" si="24"/>
        <v>0</v>
      </c>
      <c r="AS12" s="16">
        <f t="shared" si="25"/>
        <v>307.58</v>
      </c>
      <c r="AT12" s="13"/>
      <c r="AU12" s="17">
        <f t="shared" si="26"/>
        <v>0</v>
      </c>
      <c r="AV12" s="17">
        <f t="shared" si="27"/>
        <v>0.3461538461538462</v>
      </c>
      <c r="AW12" s="15">
        <v>85</v>
      </c>
      <c r="AX12" s="16">
        <f t="shared" si="28"/>
        <v>110.5</v>
      </c>
      <c r="AY12" s="13">
        <v>118</v>
      </c>
      <c r="AZ12" s="17">
        <f t="shared" si="29"/>
        <v>1.0678733031674208</v>
      </c>
      <c r="BA12" s="16">
        <f t="shared" si="30"/>
        <v>143.65</v>
      </c>
      <c r="BB12" s="13"/>
      <c r="BC12" s="17">
        <f t="shared" si="31"/>
        <v>0</v>
      </c>
      <c r="BD12" s="16">
        <f t="shared" si="32"/>
        <v>186.745</v>
      </c>
      <c r="BE12" s="13"/>
      <c r="BF12" s="17">
        <f t="shared" si="33"/>
        <v>0</v>
      </c>
      <c r="BG12" s="17">
        <f t="shared" si="34"/>
        <v>0.35595776772247362</v>
      </c>
      <c r="BH12" s="17">
        <f t="shared" si="35"/>
        <v>0.20697615742571179</v>
      </c>
      <c r="BI12" s="17">
        <f t="shared" si="36"/>
        <v>0.35105580693815991</v>
      </c>
      <c r="BJ12" s="17">
        <f t="shared" si="37"/>
        <v>0.41420118343195261</v>
      </c>
      <c r="BK12" s="10">
        <f t="shared" si="38"/>
        <v>0.27407982370475992</v>
      </c>
      <c r="BL12" s="18">
        <f>IFERROR(LOOKUP(BK12,'Setup &amp; Assumptions'!$G$19:$G$23,'Setup &amp; Assumptions'!$H$19:$H$23),0)</f>
        <v>0</v>
      </c>
    </row>
    <row r="13" spans="2:64" x14ac:dyDescent="0.2">
      <c r="B13" s="2" t="s">
        <v>43</v>
      </c>
      <c r="C13" s="3" t="s">
        <v>132</v>
      </c>
      <c r="D13" s="13">
        <v>18600</v>
      </c>
      <c r="E13" s="15">
        <v>40978</v>
      </c>
      <c r="F13" s="16">
        <f t="shared" si="0"/>
        <v>53271.4</v>
      </c>
      <c r="G13" s="13">
        <v>23245</v>
      </c>
      <c r="H13" s="17">
        <f t="shared" si="1"/>
        <v>0.43635046197396726</v>
      </c>
      <c r="I13" s="16">
        <f t="shared" si="2"/>
        <v>69252.820000000007</v>
      </c>
      <c r="J13" s="13"/>
      <c r="K13" s="17">
        <f t="shared" si="3"/>
        <v>0</v>
      </c>
      <c r="L13" s="16">
        <f t="shared" si="4"/>
        <v>90028.666000000012</v>
      </c>
      <c r="M13" s="13"/>
      <c r="N13" s="17">
        <f t="shared" si="5"/>
        <v>0</v>
      </c>
      <c r="O13" s="17">
        <f t="shared" si="6"/>
        <v>0.14545015399132241</v>
      </c>
      <c r="P13" s="15">
        <v>88684</v>
      </c>
      <c r="Q13" s="16">
        <f t="shared" si="7"/>
        <v>115289.2</v>
      </c>
      <c r="R13" s="13">
        <v>45139</v>
      </c>
      <c r="S13" s="17">
        <f t="shared" si="8"/>
        <v>0.39152843458016884</v>
      </c>
      <c r="T13" s="16">
        <f t="shared" si="9"/>
        <v>149875.96</v>
      </c>
      <c r="U13" s="13"/>
      <c r="V13" s="17">
        <f t="shared" si="10"/>
        <v>0</v>
      </c>
      <c r="W13" s="16">
        <f t="shared" si="11"/>
        <v>194838.74799999999</v>
      </c>
      <c r="X13" s="13"/>
      <c r="Y13" s="17">
        <f t="shared" si="12"/>
        <v>0</v>
      </c>
      <c r="Z13" s="17">
        <f t="shared" si="13"/>
        <v>0.13050947819338962</v>
      </c>
      <c r="AA13" s="15">
        <v>8</v>
      </c>
      <c r="AB13" s="16">
        <f t="shared" si="14"/>
        <v>10.4</v>
      </c>
      <c r="AC13" s="13">
        <v>6</v>
      </c>
      <c r="AD13" s="17">
        <f t="shared" si="15"/>
        <v>0.57692307692307687</v>
      </c>
      <c r="AE13" s="16">
        <f t="shared" si="16"/>
        <v>13.520000000000001</v>
      </c>
      <c r="AF13" s="13"/>
      <c r="AG13" s="17">
        <f t="shared" si="17"/>
        <v>0</v>
      </c>
      <c r="AH13" s="16">
        <f t="shared" si="18"/>
        <v>17.576000000000004</v>
      </c>
      <c r="AI13" s="13"/>
      <c r="AJ13" s="17">
        <f t="shared" si="19"/>
        <v>0</v>
      </c>
      <c r="AK13" s="17">
        <f t="shared" si="20"/>
        <v>0.19230769230769229</v>
      </c>
      <c r="AL13" s="15">
        <v>82</v>
      </c>
      <c r="AM13" s="16">
        <f t="shared" si="21"/>
        <v>106.60000000000001</v>
      </c>
      <c r="AN13" s="13">
        <v>116</v>
      </c>
      <c r="AO13" s="17">
        <f t="shared" si="22"/>
        <v>1.0881801125703563</v>
      </c>
      <c r="AP13" s="16">
        <f t="shared" si="23"/>
        <v>138.58000000000001</v>
      </c>
      <c r="AQ13" s="13"/>
      <c r="AR13" s="17">
        <f t="shared" si="24"/>
        <v>0</v>
      </c>
      <c r="AS13" s="16">
        <f t="shared" si="25"/>
        <v>180.15400000000002</v>
      </c>
      <c r="AT13" s="13"/>
      <c r="AU13" s="17">
        <f t="shared" si="26"/>
        <v>0</v>
      </c>
      <c r="AV13" s="17">
        <f t="shared" si="27"/>
        <v>0.36272670419011876</v>
      </c>
      <c r="AW13" s="15">
        <v>25</v>
      </c>
      <c r="AX13" s="16">
        <f t="shared" si="28"/>
        <v>32.5</v>
      </c>
      <c r="AY13" s="13">
        <v>58</v>
      </c>
      <c r="AZ13" s="17">
        <f t="shared" si="29"/>
        <v>1.7846153846153847</v>
      </c>
      <c r="BA13" s="16">
        <f t="shared" si="30"/>
        <v>42.25</v>
      </c>
      <c r="BB13" s="13"/>
      <c r="BC13" s="17">
        <f t="shared" si="31"/>
        <v>0</v>
      </c>
      <c r="BD13" s="16">
        <f t="shared" si="32"/>
        <v>54.925000000000004</v>
      </c>
      <c r="BE13" s="13"/>
      <c r="BF13" s="17">
        <f t="shared" si="33"/>
        <v>0</v>
      </c>
      <c r="BG13" s="17">
        <f t="shared" si="34"/>
        <v>0.59487179487179487</v>
      </c>
      <c r="BH13" s="17">
        <f t="shared" si="35"/>
        <v>0.13797981609235602</v>
      </c>
      <c r="BI13" s="17">
        <f t="shared" si="36"/>
        <v>0.47879924953095682</v>
      </c>
      <c r="BJ13" s="17">
        <f t="shared" si="37"/>
        <v>0.19230769230769229</v>
      </c>
      <c r="BK13" s="10">
        <f t="shared" si="38"/>
        <v>0.23133385588430666</v>
      </c>
      <c r="BL13" s="18">
        <f>IFERROR(LOOKUP(BK13,'Setup &amp; Assumptions'!$G$19:$G$23,'Setup &amp; Assumptions'!$H$19:$H$23),0)</f>
        <v>0</v>
      </c>
    </row>
    <row r="14" spans="2:64" ht="13" customHeight="1" x14ac:dyDescent="0.2">
      <c r="B14" s="2" t="s">
        <v>47</v>
      </c>
      <c r="C14" s="3" t="s">
        <v>133</v>
      </c>
      <c r="D14" s="13">
        <v>16500</v>
      </c>
      <c r="E14" s="15">
        <v>22830</v>
      </c>
      <c r="F14" s="16">
        <f t="shared" si="0"/>
        <v>29679</v>
      </c>
      <c r="G14" s="13">
        <v>29015</v>
      </c>
      <c r="H14" s="17">
        <f t="shared" si="1"/>
        <v>0.97762727854712084</v>
      </c>
      <c r="I14" s="16">
        <f t="shared" si="2"/>
        <v>38582.700000000004</v>
      </c>
      <c r="J14" s="13"/>
      <c r="K14" s="17">
        <f t="shared" si="3"/>
        <v>0</v>
      </c>
      <c r="L14" s="16">
        <f t="shared" si="4"/>
        <v>50157.510000000009</v>
      </c>
      <c r="M14" s="13"/>
      <c r="N14" s="17">
        <f t="shared" si="5"/>
        <v>0</v>
      </c>
      <c r="O14" s="17">
        <f t="shared" si="6"/>
        <v>0.32587575951570696</v>
      </c>
      <c r="P14" s="15">
        <v>44071</v>
      </c>
      <c r="Q14" s="16">
        <f t="shared" si="7"/>
        <v>57292.3</v>
      </c>
      <c r="R14" s="13">
        <v>41189</v>
      </c>
      <c r="S14" s="17">
        <f t="shared" si="8"/>
        <v>0.7189273253124765</v>
      </c>
      <c r="T14" s="16">
        <f t="shared" si="9"/>
        <v>74479.990000000005</v>
      </c>
      <c r="U14" s="13"/>
      <c r="V14" s="17">
        <f t="shared" si="10"/>
        <v>0</v>
      </c>
      <c r="W14" s="16">
        <f t="shared" si="11"/>
        <v>96823.987000000008</v>
      </c>
      <c r="X14" s="13"/>
      <c r="Y14" s="17">
        <f t="shared" si="12"/>
        <v>0</v>
      </c>
      <c r="Z14" s="17">
        <f t="shared" si="13"/>
        <v>0.2396424417708255</v>
      </c>
      <c r="AA14" s="15">
        <v>5</v>
      </c>
      <c r="AB14" s="16">
        <f t="shared" si="14"/>
        <v>6.5</v>
      </c>
      <c r="AC14" s="13">
        <v>14</v>
      </c>
      <c r="AD14" s="17">
        <f t="shared" si="15"/>
        <v>2.1538461538461537</v>
      </c>
      <c r="AE14" s="16">
        <f t="shared" si="16"/>
        <v>8.4500000000000011</v>
      </c>
      <c r="AF14" s="13"/>
      <c r="AG14" s="17">
        <f t="shared" si="17"/>
        <v>0</v>
      </c>
      <c r="AH14" s="16">
        <f t="shared" si="18"/>
        <v>10.985000000000001</v>
      </c>
      <c r="AI14" s="13"/>
      <c r="AJ14" s="17">
        <f t="shared" si="19"/>
        <v>0</v>
      </c>
      <c r="AK14" s="17">
        <f t="shared" si="20"/>
        <v>0.71794871794871795</v>
      </c>
      <c r="AL14" s="15">
        <v>81</v>
      </c>
      <c r="AM14" s="16">
        <f t="shared" si="21"/>
        <v>105.3</v>
      </c>
      <c r="AN14" s="13">
        <v>192</v>
      </c>
      <c r="AO14" s="17">
        <f t="shared" si="22"/>
        <v>1.8233618233618234</v>
      </c>
      <c r="AP14" s="16">
        <f t="shared" si="23"/>
        <v>136.89000000000001</v>
      </c>
      <c r="AQ14" s="13"/>
      <c r="AR14" s="17">
        <f t="shared" si="24"/>
        <v>0</v>
      </c>
      <c r="AS14" s="16">
        <f t="shared" si="25"/>
        <v>177.95700000000002</v>
      </c>
      <c r="AT14" s="13"/>
      <c r="AU14" s="17">
        <f t="shared" si="26"/>
        <v>0</v>
      </c>
      <c r="AV14" s="17">
        <f t="shared" si="27"/>
        <v>0.6077872744539411</v>
      </c>
      <c r="AW14" s="15">
        <v>15</v>
      </c>
      <c r="AX14" s="16">
        <f t="shared" si="28"/>
        <v>19.5</v>
      </c>
      <c r="AY14" s="13">
        <v>45</v>
      </c>
      <c r="AZ14" s="17">
        <f t="shared" si="29"/>
        <v>2.3076923076923075</v>
      </c>
      <c r="BA14" s="16">
        <f t="shared" si="30"/>
        <v>25.35</v>
      </c>
      <c r="BB14" s="13"/>
      <c r="BC14" s="17">
        <f t="shared" si="31"/>
        <v>0</v>
      </c>
      <c r="BD14" s="16">
        <f t="shared" si="32"/>
        <v>32.955000000000005</v>
      </c>
      <c r="BE14" s="13"/>
      <c r="BF14" s="17">
        <f t="shared" si="33"/>
        <v>0</v>
      </c>
      <c r="BG14" s="17">
        <f t="shared" si="34"/>
        <v>0.76923076923076916</v>
      </c>
      <c r="BH14" s="17">
        <f t="shared" si="35"/>
        <v>0.28275910064326626</v>
      </c>
      <c r="BI14" s="17">
        <f t="shared" si="36"/>
        <v>0.68850902184235507</v>
      </c>
      <c r="BJ14" s="17">
        <f t="shared" si="37"/>
        <v>0.71794871794871795</v>
      </c>
      <c r="BK14" s="10">
        <f t="shared" si="38"/>
        <v>0.44947502353885621</v>
      </c>
      <c r="BL14" s="18">
        <f>IFERROR(LOOKUP(BK14,'Setup &amp; Assumptions'!$G$19:$G$23,'Setup &amp; Assumptions'!$H$19:$H$23),0)</f>
        <v>0</v>
      </c>
    </row>
    <row r="15" spans="2:64" ht="1" x14ac:dyDescent="0.2">
      <c r="B15" s="2" t="s">
        <v>49</v>
      </c>
      <c r="C15" s="45" t="s">
        <v>131</v>
      </c>
      <c r="D15" s="13">
        <v>16500</v>
      </c>
      <c r="E15" s="15">
        <v>22830</v>
      </c>
      <c r="F15" s="16">
        <f t="shared" si="0"/>
        <v>29679</v>
      </c>
      <c r="G15" s="13">
        <v>29015</v>
      </c>
      <c r="H15" s="17">
        <f t="shared" si="1"/>
        <v>0.97762727854712084</v>
      </c>
      <c r="I15" s="16">
        <f t="shared" si="2"/>
        <v>38582.700000000004</v>
      </c>
      <c r="J15" s="13"/>
      <c r="K15" s="17">
        <f t="shared" si="3"/>
        <v>0</v>
      </c>
      <c r="L15" s="16">
        <f t="shared" si="4"/>
        <v>50157.510000000009</v>
      </c>
      <c r="M15" s="13"/>
      <c r="N15" s="17">
        <f t="shared" si="5"/>
        <v>0</v>
      </c>
      <c r="O15" s="17">
        <f t="shared" si="6"/>
        <v>0.32587575951570696</v>
      </c>
      <c r="P15" s="15">
        <v>44071</v>
      </c>
      <c r="Q15" s="16">
        <f t="shared" si="7"/>
        <v>57292.3</v>
      </c>
      <c r="R15" s="13">
        <v>41188</v>
      </c>
      <c r="S15" s="17">
        <f t="shared" si="8"/>
        <v>0.71890987095997194</v>
      </c>
      <c r="T15" s="16">
        <f t="shared" si="9"/>
        <v>74479.990000000005</v>
      </c>
      <c r="U15" s="13"/>
      <c r="V15" s="17">
        <f t="shared" si="10"/>
        <v>0</v>
      </c>
      <c r="W15" s="16">
        <f t="shared" si="11"/>
        <v>96823.987000000008</v>
      </c>
      <c r="X15" s="13"/>
      <c r="Y15" s="17">
        <f t="shared" si="12"/>
        <v>0</v>
      </c>
      <c r="Z15" s="17">
        <f t="shared" si="13"/>
        <v>0.23963662365332397</v>
      </c>
      <c r="AA15" s="15">
        <v>5</v>
      </c>
      <c r="AB15" s="16">
        <f t="shared" si="14"/>
        <v>6.5</v>
      </c>
      <c r="AC15" s="13">
        <v>13</v>
      </c>
      <c r="AD15" s="17">
        <f t="shared" si="15"/>
        <v>2</v>
      </c>
      <c r="AE15" s="16">
        <f t="shared" si="16"/>
        <v>8.4500000000000011</v>
      </c>
      <c r="AF15" s="13"/>
      <c r="AG15" s="17">
        <f t="shared" si="17"/>
        <v>0</v>
      </c>
      <c r="AH15" s="16">
        <f t="shared" si="18"/>
        <v>10.985000000000001</v>
      </c>
      <c r="AI15" s="13"/>
      <c r="AJ15" s="17">
        <f t="shared" si="19"/>
        <v>0</v>
      </c>
      <c r="AK15" s="17">
        <f t="shared" si="20"/>
        <v>0.66666666666666663</v>
      </c>
      <c r="AL15" s="15">
        <v>81</v>
      </c>
      <c r="AM15" s="16">
        <f t="shared" si="21"/>
        <v>105.3</v>
      </c>
      <c r="AN15" s="13">
        <v>191</v>
      </c>
      <c r="AO15" s="17">
        <f t="shared" si="22"/>
        <v>1.8138651471984806</v>
      </c>
      <c r="AP15" s="16">
        <f t="shared" si="23"/>
        <v>136.89000000000001</v>
      </c>
      <c r="AQ15" s="13"/>
      <c r="AR15" s="17">
        <f t="shared" si="24"/>
        <v>0</v>
      </c>
      <c r="AS15" s="16">
        <f t="shared" si="25"/>
        <v>177.95700000000002</v>
      </c>
      <c r="AT15" s="13"/>
      <c r="AU15" s="17">
        <f t="shared" si="26"/>
        <v>0</v>
      </c>
      <c r="AV15" s="17">
        <f t="shared" si="27"/>
        <v>0.60462171573282686</v>
      </c>
      <c r="AW15" s="15">
        <v>15</v>
      </c>
      <c r="AX15" s="16">
        <f t="shared" si="28"/>
        <v>19.5</v>
      </c>
      <c r="AY15" s="13">
        <v>44</v>
      </c>
      <c r="AZ15" s="17">
        <f t="shared" si="29"/>
        <v>2.2564102564102564</v>
      </c>
      <c r="BA15" s="16">
        <f t="shared" si="30"/>
        <v>25.35</v>
      </c>
      <c r="BB15" s="13"/>
      <c r="BC15" s="17">
        <f t="shared" si="31"/>
        <v>0</v>
      </c>
      <c r="BD15" s="16">
        <f t="shared" si="32"/>
        <v>32.955000000000005</v>
      </c>
      <c r="BE15" s="13"/>
      <c r="BF15" s="17">
        <f t="shared" si="33"/>
        <v>0</v>
      </c>
      <c r="BG15" s="17">
        <f t="shared" si="34"/>
        <v>0.75213675213675213</v>
      </c>
      <c r="BH15" s="17">
        <f t="shared" si="35"/>
        <v>0.28275619158451548</v>
      </c>
      <c r="BI15" s="17">
        <f t="shared" si="36"/>
        <v>0.67837923393478949</v>
      </c>
      <c r="BJ15" s="17">
        <f t="shared" si="37"/>
        <v>0.66666666666666663</v>
      </c>
      <c r="BK15" s="10">
        <f t="shared" si="38"/>
        <v>0.43924852343440662</v>
      </c>
      <c r="BL15" s="18">
        <f>IFERROR(LOOKUP(BK15,'Setup &amp; Assumptions'!$G$19:$G$23,'Setup &amp; Assumptions'!$H$19:$H$23),0)</f>
        <v>0</v>
      </c>
    </row>
    <row r="16" spans="2:64" x14ac:dyDescent="0.2">
      <c r="B16" s="2" t="s">
        <v>50</v>
      </c>
      <c r="C16" s="3" t="s">
        <v>133</v>
      </c>
      <c r="D16" s="13">
        <v>27300</v>
      </c>
      <c r="E16" s="15">
        <v>29231</v>
      </c>
      <c r="F16" s="16">
        <f t="shared" si="0"/>
        <v>38000.300000000003</v>
      </c>
      <c r="G16" s="13">
        <v>28056</v>
      </c>
      <c r="H16" s="17">
        <f t="shared" si="1"/>
        <v>0.73830996071083643</v>
      </c>
      <c r="I16" s="16">
        <f t="shared" si="2"/>
        <v>49400.390000000007</v>
      </c>
      <c r="J16" s="13"/>
      <c r="K16" s="17">
        <f t="shared" si="3"/>
        <v>0</v>
      </c>
      <c r="L16" s="16">
        <f t="shared" si="4"/>
        <v>64220.507000000012</v>
      </c>
      <c r="M16" s="13"/>
      <c r="N16" s="17">
        <f t="shared" si="5"/>
        <v>0</v>
      </c>
      <c r="O16" s="17">
        <f t="shared" si="6"/>
        <v>0.24610332023694548</v>
      </c>
      <c r="P16" s="15">
        <v>54195</v>
      </c>
      <c r="Q16" s="16">
        <f t="shared" si="7"/>
        <v>70453.5</v>
      </c>
      <c r="R16" s="13">
        <v>151959</v>
      </c>
      <c r="S16" s="17">
        <f t="shared" si="8"/>
        <v>2.1568694245140412</v>
      </c>
      <c r="T16" s="16">
        <f t="shared" si="9"/>
        <v>91589.55</v>
      </c>
      <c r="U16" s="13"/>
      <c r="V16" s="17">
        <f t="shared" si="10"/>
        <v>0</v>
      </c>
      <c r="W16" s="16">
        <f t="shared" si="11"/>
        <v>119066.41500000001</v>
      </c>
      <c r="X16" s="13"/>
      <c r="Y16" s="17">
        <f t="shared" si="12"/>
        <v>0</v>
      </c>
      <c r="Z16" s="17">
        <f t="shared" si="13"/>
        <v>0.71895647483801373</v>
      </c>
      <c r="AA16" s="15">
        <v>14</v>
      </c>
      <c r="AB16" s="16">
        <f t="shared" si="14"/>
        <v>18.2</v>
      </c>
      <c r="AC16" s="13">
        <v>10</v>
      </c>
      <c r="AD16" s="17">
        <f t="shared" si="15"/>
        <v>0.5494505494505495</v>
      </c>
      <c r="AE16" s="16">
        <f t="shared" si="16"/>
        <v>23.66</v>
      </c>
      <c r="AF16" s="13"/>
      <c r="AG16" s="17">
        <f t="shared" si="17"/>
        <v>0</v>
      </c>
      <c r="AH16" s="16">
        <f t="shared" si="18"/>
        <v>30.758000000000003</v>
      </c>
      <c r="AI16" s="13"/>
      <c r="AJ16" s="17">
        <f t="shared" si="19"/>
        <v>0</v>
      </c>
      <c r="AK16" s="17">
        <f t="shared" si="20"/>
        <v>0.18315018315018317</v>
      </c>
      <c r="AL16" s="15">
        <v>87</v>
      </c>
      <c r="AM16" s="16">
        <f t="shared" si="21"/>
        <v>113.10000000000001</v>
      </c>
      <c r="AN16" s="13">
        <v>1023</v>
      </c>
      <c r="AO16" s="17">
        <f t="shared" si="22"/>
        <v>9.0450928381962861</v>
      </c>
      <c r="AP16" s="16">
        <f t="shared" si="23"/>
        <v>147.03000000000003</v>
      </c>
      <c r="AQ16" s="13"/>
      <c r="AR16" s="17">
        <f t="shared" si="24"/>
        <v>0</v>
      </c>
      <c r="AS16" s="16">
        <f t="shared" si="25"/>
        <v>191.13900000000004</v>
      </c>
      <c r="AT16" s="13"/>
      <c r="AU16" s="17">
        <f t="shared" si="26"/>
        <v>0</v>
      </c>
      <c r="AV16" s="17">
        <f t="shared" si="27"/>
        <v>3.0150309460654285</v>
      </c>
      <c r="AW16" s="15">
        <v>63</v>
      </c>
      <c r="AX16" s="16">
        <f t="shared" si="28"/>
        <v>81.900000000000006</v>
      </c>
      <c r="AY16" s="13">
        <v>52</v>
      </c>
      <c r="AZ16" s="17">
        <f t="shared" si="29"/>
        <v>0.63492063492063489</v>
      </c>
      <c r="BA16" s="16">
        <f t="shared" si="30"/>
        <v>106.47000000000001</v>
      </c>
      <c r="BB16" s="13"/>
      <c r="BC16" s="17">
        <f t="shared" si="31"/>
        <v>0</v>
      </c>
      <c r="BD16" s="16">
        <f t="shared" si="32"/>
        <v>138.41100000000003</v>
      </c>
      <c r="BE16" s="13"/>
      <c r="BF16" s="17">
        <f t="shared" si="33"/>
        <v>0</v>
      </c>
      <c r="BG16" s="17">
        <f t="shared" si="34"/>
        <v>0.21164021164021163</v>
      </c>
      <c r="BH16" s="17">
        <f t="shared" si="35"/>
        <v>0.4825298975374796</v>
      </c>
      <c r="BI16" s="17">
        <f t="shared" si="36"/>
        <v>1.6133355788528201</v>
      </c>
      <c r="BJ16" s="17">
        <f t="shared" si="37"/>
        <v>0.18315018315018317</v>
      </c>
      <c r="BK16" s="10">
        <f t="shared" si="38"/>
        <v>0.72032436070822026</v>
      </c>
      <c r="BL16" s="18">
        <f>IFERROR(LOOKUP(BK16,'Setup &amp; Assumptions'!$G$19:$G$23,'Setup &amp; Assumptions'!$H$19:$H$23),0)</f>
        <v>0</v>
      </c>
    </row>
    <row r="23" spans="2:64" ht="18" x14ac:dyDescent="0.2">
      <c r="B23" s="51" t="s">
        <v>278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</row>
    <row r="24" spans="2:64" x14ac:dyDescent="0.2">
      <c r="B24" s="49" t="s">
        <v>108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</row>
    <row r="26" spans="2:64" x14ac:dyDescent="0.2">
      <c r="E26" s="52" t="s">
        <v>109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 t="s">
        <v>110</v>
      </c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 t="s">
        <v>111</v>
      </c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 t="s">
        <v>112</v>
      </c>
      <c r="BI26" s="52"/>
      <c r="BJ26" s="52"/>
      <c r="BK26" s="52"/>
      <c r="BL26" s="52"/>
    </row>
    <row r="27" spans="2:64" x14ac:dyDescent="0.2">
      <c r="E27" s="50" t="s">
        <v>77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 t="s">
        <v>113</v>
      </c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91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 t="s">
        <v>100</v>
      </c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 t="s">
        <v>95</v>
      </c>
      <c r="AX27" s="50"/>
      <c r="AY27" s="50"/>
      <c r="AZ27" s="50"/>
      <c r="BA27" s="50"/>
      <c r="BB27" s="50"/>
      <c r="BC27" s="50"/>
      <c r="BD27" s="50"/>
      <c r="BE27" s="50"/>
      <c r="BF27" s="50"/>
      <c r="BG27" s="50"/>
    </row>
    <row r="28" spans="2:64" ht="28" x14ac:dyDescent="0.2">
      <c r="B28" s="4" t="s">
        <v>13</v>
      </c>
      <c r="C28" s="4" t="s">
        <v>114</v>
      </c>
      <c r="D28" s="4" t="s">
        <v>115</v>
      </c>
      <c r="E28" s="14" t="s">
        <v>116</v>
      </c>
      <c r="F28" s="4" t="s">
        <v>117</v>
      </c>
      <c r="G28" s="4" t="s">
        <v>118</v>
      </c>
      <c r="H28" s="4" t="s">
        <v>119</v>
      </c>
      <c r="I28" s="4" t="s">
        <v>120</v>
      </c>
      <c r="J28" s="4" t="s">
        <v>121</v>
      </c>
      <c r="K28" s="4" t="s">
        <v>122</v>
      </c>
      <c r="L28" s="4" t="s">
        <v>123</v>
      </c>
      <c r="M28" s="4" t="s">
        <v>124</v>
      </c>
      <c r="N28" s="4" t="s">
        <v>125</v>
      </c>
      <c r="O28" s="4" t="s">
        <v>126</v>
      </c>
      <c r="P28" s="14" t="s">
        <v>116</v>
      </c>
      <c r="Q28" s="4" t="s">
        <v>117</v>
      </c>
      <c r="R28" s="4" t="s">
        <v>118</v>
      </c>
      <c r="S28" s="4" t="s">
        <v>119</v>
      </c>
      <c r="T28" s="4" t="s">
        <v>120</v>
      </c>
      <c r="U28" s="4" t="s">
        <v>121</v>
      </c>
      <c r="V28" s="4" t="s">
        <v>122</v>
      </c>
      <c r="W28" s="4" t="s">
        <v>123</v>
      </c>
      <c r="X28" s="4" t="s">
        <v>124</v>
      </c>
      <c r="Y28" s="4" t="s">
        <v>125</v>
      </c>
      <c r="Z28" s="4" t="s">
        <v>126</v>
      </c>
      <c r="AA28" s="14" t="s">
        <v>116</v>
      </c>
      <c r="AB28" s="4" t="s">
        <v>117</v>
      </c>
      <c r="AC28" s="4" t="s">
        <v>118</v>
      </c>
      <c r="AD28" s="4" t="s">
        <v>119</v>
      </c>
      <c r="AE28" s="4" t="s">
        <v>120</v>
      </c>
      <c r="AF28" s="4" t="s">
        <v>121</v>
      </c>
      <c r="AG28" s="4" t="s">
        <v>122</v>
      </c>
      <c r="AH28" s="4" t="s">
        <v>123</v>
      </c>
      <c r="AI28" s="4" t="s">
        <v>124</v>
      </c>
      <c r="AJ28" s="4" t="s">
        <v>125</v>
      </c>
      <c r="AK28" s="4" t="s">
        <v>126</v>
      </c>
      <c r="AL28" s="14" t="s">
        <v>116</v>
      </c>
      <c r="AM28" s="4" t="s">
        <v>117</v>
      </c>
      <c r="AN28" s="4" t="s">
        <v>118</v>
      </c>
      <c r="AO28" s="4" t="s">
        <v>119</v>
      </c>
      <c r="AP28" s="4" t="s">
        <v>120</v>
      </c>
      <c r="AQ28" s="4" t="s">
        <v>121</v>
      </c>
      <c r="AR28" s="4" t="s">
        <v>122</v>
      </c>
      <c r="AS28" s="4" t="s">
        <v>123</v>
      </c>
      <c r="AT28" s="4" t="s">
        <v>124</v>
      </c>
      <c r="AU28" s="4" t="s">
        <v>125</v>
      </c>
      <c r="AV28" s="4" t="s">
        <v>126</v>
      </c>
      <c r="AW28" s="14" t="s">
        <v>116</v>
      </c>
      <c r="AX28" s="4" t="s">
        <v>117</v>
      </c>
      <c r="AY28" s="4" t="s">
        <v>118</v>
      </c>
      <c r="AZ28" s="4" t="s">
        <v>119</v>
      </c>
      <c r="BA28" s="4" t="s">
        <v>120</v>
      </c>
      <c r="BB28" s="4" t="s">
        <v>121</v>
      </c>
      <c r="BC28" s="4" t="s">
        <v>122</v>
      </c>
      <c r="BD28" s="4" t="s">
        <v>123</v>
      </c>
      <c r="BE28" s="4" t="s">
        <v>124</v>
      </c>
      <c r="BF28" s="4" t="s">
        <v>125</v>
      </c>
      <c r="BG28" s="4" t="s">
        <v>126</v>
      </c>
      <c r="BH28" s="4" t="s">
        <v>127</v>
      </c>
      <c r="BI28" s="4" t="s">
        <v>128</v>
      </c>
      <c r="BJ28" s="4" t="s">
        <v>129</v>
      </c>
      <c r="BK28" s="4" t="s">
        <v>130</v>
      </c>
      <c r="BL28" s="4" t="s">
        <v>53</v>
      </c>
    </row>
    <row r="29" spans="2:64" x14ac:dyDescent="0.2">
      <c r="B29" s="2" t="s">
        <v>17</v>
      </c>
      <c r="C29" s="3" t="s">
        <v>131</v>
      </c>
      <c r="D29" s="13">
        <v>13900</v>
      </c>
      <c r="E29" s="15">
        <v>109798</v>
      </c>
      <c r="F29" s="16">
        <f t="shared" ref="F29:F37" si="39">E29*1.3</f>
        <v>142737.4</v>
      </c>
      <c r="G29" s="13">
        <v>163445</v>
      </c>
      <c r="H29" s="17">
        <f t="shared" ref="H29:H37" si="40">IFERROR(G29/F29,0)</f>
        <v>1.145074801698784</v>
      </c>
      <c r="I29" s="16">
        <f t="shared" ref="I29:I37" si="41">F29*1.3</f>
        <v>185558.62</v>
      </c>
      <c r="J29" s="13"/>
      <c r="K29" s="17">
        <f t="shared" ref="K29:K37" si="42">IFERROR(J29/I29,0)</f>
        <v>0</v>
      </c>
      <c r="L29" s="16">
        <f t="shared" ref="L29:L37" si="43">I29*1.3</f>
        <v>241226.20600000001</v>
      </c>
      <c r="M29" s="13"/>
      <c r="N29" s="17">
        <f t="shared" ref="N29:N37" si="44">IFERROR(M29/L29,0)</f>
        <v>0</v>
      </c>
      <c r="O29" s="17">
        <f t="shared" ref="O29:O37" si="45">AVERAGE(H29,K29,N29)</f>
        <v>0.38169160056626134</v>
      </c>
      <c r="P29" s="15">
        <v>250834</v>
      </c>
      <c r="Q29" s="16">
        <f t="shared" ref="Q29:Q37" si="46">P29*1.3</f>
        <v>326084.2</v>
      </c>
      <c r="R29" s="13">
        <v>222618</v>
      </c>
      <c r="S29" s="17">
        <f t="shared" ref="S29:S37" si="47">IFERROR(R29/Q29,0)</f>
        <v>0.68270097109887562</v>
      </c>
      <c r="T29" s="16">
        <f t="shared" ref="T29:T37" si="48">Q29*1.3</f>
        <v>423909.46</v>
      </c>
      <c r="U29" s="13"/>
      <c r="V29" s="17">
        <f t="shared" ref="V29:V37" si="49">IFERROR(U29/T29,0)</f>
        <v>0</v>
      </c>
      <c r="W29" s="16">
        <f t="shared" ref="W29:W37" si="50">T29*1.3</f>
        <v>551082.29800000007</v>
      </c>
      <c r="X29" s="13"/>
      <c r="Y29" s="17">
        <f t="shared" ref="Y29:Y37" si="51">IFERROR(X29/W29,0)</f>
        <v>0</v>
      </c>
      <c r="Z29" s="17">
        <f t="shared" ref="Z29:Z37" si="52">AVERAGE(S29,V29,Y29)</f>
        <v>0.22756699036629188</v>
      </c>
      <c r="AA29" s="15">
        <v>34</v>
      </c>
      <c r="AB29" s="16">
        <f t="shared" ref="AB29:AB37" si="53">AA29*1.3</f>
        <v>44.2</v>
      </c>
      <c r="AC29" s="13">
        <v>29</v>
      </c>
      <c r="AD29" s="17">
        <f t="shared" ref="AD29:AD37" si="54">IFERROR(AC29/AB29,0)</f>
        <v>0.65610859728506787</v>
      </c>
      <c r="AE29" s="16">
        <f t="shared" ref="AE29:AE37" si="55">AB29*1.3</f>
        <v>57.460000000000008</v>
      </c>
      <c r="AF29" s="13"/>
      <c r="AG29" s="17">
        <f t="shared" ref="AG29:AG37" si="56">IFERROR(AF29/AE29,0)</f>
        <v>0</v>
      </c>
      <c r="AH29" s="16">
        <f t="shared" ref="AH29:AH37" si="57">AE29*1.3</f>
        <v>74.698000000000008</v>
      </c>
      <c r="AI29" s="13"/>
      <c r="AJ29" s="17">
        <f t="shared" ref="AJ29:AJ37" si="58">IFERROR(AI29/AH29,0)</f>
        <v>0</v>
      </c>
      <c r="AK29" s="17">
        <f t="shared" ref="AK29:AK37" si="59">AVERAGE(AD29,AG29,AJ29)</f>
        <v>0.21870286576168929</v>
      </c>
      <c r="AL29" s="15">
        <v>1041</v>
      </c>
      <c r="AM29" s="16">
        <f t="shared" ref="AM29:AM37" si="60">AL29*1.3</f>
        <v>1353.3</v>
      </c>
      <c r="AN29" s="13">
        <v>465</v>
      </c>
      <c r="AO29" s="17">
        <f t="shared" ref="AO29:AO37" si="61">IFERROR(AN29/AM29,0)</f>
        <v>0.34360452227887389</v>
      </c>
      <c r="AP29" s="16">
        <f t="shared" ref="AP29:AP37" si="62">AM29*1.3</f>
        <v>1759.29</v>
      </c>
      <c r="AQ29" s="13"/>
      <c r="AR29" s="17">
        <f t="shared" ref="AR29:AR37" si="63">IFERROR(AQ29/AP29,0)</f>
        <v>0</v>
      </c>
      <c r="AS29" s="16">
        <f t="shared" ref="AS29:AS37" si="64">AP29*1.3</f>
        <v>2287.0770000000002</v>
      </c>
      <c r="AT29" s="13"/>
      <c r="AU29" s="17">
        <f t="shared" ref="AU29:AU37" si="65">IFERROR(AT29/AS29,0)</f>
        <v>0</v>
      </c>
      <c r="AV29" s="17">
        <f t="shared" ref="AV29:AV37" si="66">AVERAGE(AO29,AR29,AU29)</f>
        <v>0.11453484075962463</v>
      </c>
      <c r="AW29" s="15">
        <v>90</v>
      </c>
      <c r="AX29" s="16">
        <f t="shared" ref="AX29:AX37" si="67">AW29*1.3</f>
        <v>117</v>
      </c>
      <c r="AY29" s="13">
        <v>132</v>
      </c>
      <c r="AZ29" s="17">
        <f t="shared" ref="AZ29:AZ37" si="68">IFERROR(AY29/AX29,0)</f>
        <v>1.1282051282051282</v>
      </c>
      <c r="BA29" s="16">
        <f t="shared" ref="BA29:BA37" si="69">AX29*1.3</f>
        <v>152.1</v>
      </c>
      <c r="BB29" s="13"/>
      <c r="BC29" s="17">
        <f t="shared" ref="BC29:BC37" si="70">IFERROR(BB29/BA29,0)</f>
        <v>0</v>
      </c>
      <c r="BD29" s="16">
        <f t="shared" ref="BD29:BD37" si="71">BA29*1.3</f>
        <v>197.73</v>
      </c>
      <c r="BE29" s="13"/>
      <c r="BF29" s="17">
        <f t="shared" ref="BF29:BF37" si="72">IFERROR(BE29/BD29,0)</f>
        <v>0</v>
      </c>
      <c r="BG29" s="17">
        <f t="shared" ref="BG29:BG37" si="73">AVERAGE(AZ29,BC29,BF29)</f>
        <v>0.37606837606837606</v>
      </c>
      <c r="BH29" s="17">
        <f t="shared" ref="BH29:BH37" si="74">AVERAGE(O29,Z29)</f>
        <v>0.3046292954662766</v>
      </c>
      <c r="BI29" s="17">
        <f t="shared" ref="BI29:BI37" si="75">AVERAGE(AV29,BG29)</f>
        <v>0.24530160841400034</v>
      </c>
      <c r="BJ29" s="17">
        <f t="shared" ref="BJ29:BJ37" si="76">AK29</f>
        <v>0.21870286576168929</v>
      </c>
      <c r="BK29" s="10">
        <f t="shared" ref="BK29:BK37" si="77">BH29*0.6+BI29*0.25+BJ29*0.15</f>
        <v>0.27690840924751942</v>
      </c>
      <c r="BL29" s="18">
        <f>IFERROR(LOOKUP(BK29,'Setup &amp; Assumptions'!$G$19:$G$23,'Setup &amp; Assumptions'!$H$19:$H$23),0)</f>
        <v>0</v>
      </c>
    </row>
    <row r="30" spans="2:64" x14ac:dyDescent="0.2">
      <c r="B30" s="2" t="s">
        <v>22</v>
      </c>
      <c r="C30" s="3" t="s">
        <v>131</v>
      </c>
      <c r="D30" s="13">
        <v>160</v>
      </c>
      <c r="E30" s="15">
        <v>160</v>
      </c>
      <c r="F30" s="16">
        <f t="shared" si="39"/>
        <v>208</v>
      </c>
      <c r="G30" s="13"/>
      <c r="H30" s="17">
        <f t="shared" si="40"/>
        <v>0</v>
      </c>
      <c r="I30" s="16">
        <f t="shared" si="41"/>
        <v>270.40000000000003</v>
      </c>
      <c r="J30" s="13"/>
      <c r="K30" s="17">
        <f t="shared" si="42"/>
        <v>0</v>
      </c>
      <c r="L30" s="16">
        <f t="shared" si="43"/>
        <v>351.52000000000004</v>
      </c>
      <c r="M30" s="13"/>
      <c r="N30" s="17">
        <f t="shared" si="44"/>
        <v>0</v>
      </c>
      <c r="O30" s="17">
        <f t="shared" si="45"/>
        <v>0</v>
      </c>
      <c r="P30" s="15">
        <v>0</v>
      </c>
      <c r="Q30" s="16">
        <f t="shared" si="46"/>
        <v>0</v>
      </c>
      <c r="R30" s="13"/>
      <c r="S30" s="17">
        <f t="shared" si="47"/>
        <v>0</v>
      </c>
      <c r="T30" s="16">
        <f t="shared" si="48"/>
        <v>0</v>
      </c>
      <c r="U30" s="13"/>
      <c r="V30" s="17">
        <f t="shared" si="49"/>
        <v>0</v>
      </c>
      <c r="W30" s="16">
        <f t="shared" si="50"/>
        <v>0</v>
      </c>
      <c r="X30" s="13"/>
      <c r="Y30" s="17">
        <f t="shared" si="51"/>
        <v>0</v>
      </c>
      <c r="Z30" s="17">
        <f t="shared" si="52"/>
        <v>0</v>
      </c>
      <c r="AA30" s="15">
        <v>0</v>
      </c>
      <c r="AB30" s="16">
        <f t="shared" si="53"/>
        <v>0</v>
      </c>
      <c r="AC30" s="13"/>
      <c r="AD30" s="17">
        <f t="shared" si="54"/>
        <v>0</v>
      </c>
      <c r="AE30" s="16">
        <f t="shared" si="55"/>
        <v>0</v>
      </c>
      <c r="AF30" s="13"/>
      <c r="AG30" s="17">
        <f t="shared" si="56"/>
        <v>0</v>
      </c>
      <c r="AH30" s="16">
        <f t="shared" si="57"/>
        <v>0</v>
      </c>
      <c r="AI30" s="13"/>
      <c r="AJ30" s="17">
        <f t="shared" si="58"/>
        <v>0</v>
      </c>
      <c r="AK30" s="17">
        <f t="shared" si="59"/>
        <v>0</v>
      </c>
      <c r="AL30" s="15">
        <v>0</v>
      </c>
      <c r="AM30" s="16">
        <f t="shared" si="60"/>
        <v>0</v>
      </c>
      <c r="AN30" s="13"/>
      <c r="AO30" s="17">
        <f t="shared" si="61"/>
        <v>0</v>
      </c>
      <c r="AP30" s="16">
        <f t="shared" si="62"/>
        <v>0</v>
      </c>
      <c r="AQ30" s="13"/>
      <c r="AR30" s="17">
        <f t="shared" si="63"/>
        <v>0</v>
      </c>
      <c r="AS30" s="16">
        <f t="shared" si="64"/>
        <v>0</v>
      </c>
      <c r="AT30" s="13"/>
      <c r="AU30" s="17">
        <f t="shared" si="65"/>
        <v>0</v>
      </c>
      <c r="AV30" s="17">
        <f t="shared" si="66"/>
        <v>0</v>
      </c>
      <c r="AW30" s="15">
        <v>0</v>
      </c>
      <c r="AX30" s="16">
        <f t="shared" si="67"/>
        <v>0</v>
      </c>
      <c r="AY30" s="13"/>
      <c r="AZ30" s="17">
        <f t="shared" si="68"/>
        <v>0</v>
      </c>
      <c r="BA30" s="16">
        <f t="shared" si="69"/>
        <v>0</v>
      </c>
      <c r="BB30" s="13"/>
      <c r="BC30" s="17">
        <f t="shared" si="70"/>
        <v>0</v>
      </c>
      <c r="BD30" s="16">
        <f t="shared" si="71"/>
        <v>0</v>
      </c>
      <c r="BE30" s="13"/>
      <c r="BF30" s="17">
        <f t="shared" si="72"/>
        <v>0</v>
      </c>
      <c r="BG30" s="17">
        <f t="shared" si="73"/>
        <v>0</v>
      </c>
      <c r="BH30" s="17">
        <f t="shared" si="74"/>
        <v>0</v>
      </c>
      <c r="BI30" s="17">
        <f t="shared" si="75"/>
        <v>0</v>
      </c>
      <c r="BJ30" s="17">
        <f t="shared" si="76"/>
        <v>0</v>
      </c>
      <c r="BK30" s="10">
        <f t="shared" si="77"/>
        <v>0</v>
      </c>
      <c r="BL30" s="18">
        <f>IFERROR(LOOKUP(BK30,'Setup &amp; Assumptions'!$G$19:$G$23,'Setup &amp; Assumptions'!$H$19:$H$23),0)</f>
        <v>0</v>
      </c>
    </row>
    <row r="31" spans="2:64" x14ac:dyDescent="0.2">
      <c r="B31" s="2" t="s">
        <v>30</v>
      </c>
      <c r="C31" s="3" t="s">
        <v>132</v>
      </c>
      <c r="D31" s="13">
        <v>32900</v>
      </c>
      <c r="E31" s="15">
        <v>56671</v>
      </c>
      <c r="F31" s="16">
        <f t="shared" si="39"/>
        <v>73672.3</v>
      </c>
      <c r="G31" s="13">
        <v>104372</v>
      </c>
      <c r="H31" s="17">
        <f t="shared" si="40"/>
        <v>1.4167061432858754</v>
      </c>
      <c r="I31" s="16">
        <f t="shared" si="41"/>
        <v>95773.99</v>
      </c>
      <c r="J31" s="13"/>
      <c r="K31" s="17">
        <f t="shared" si="42"/>
        <v>0</v>
      </c>
      <c r="L31" s="16">
        <f t="shared" si="43"/>
        <v>124506.18700000001</v>
      </c>
      <c r="M31" s="13"/>
      <c r="N31" s="17">
        <f t="shared" si="44"/>
        <v>0</v>
      </c>
      <c r="O31" s="17">
        <f t="shared" si="45"/>
        <v>0.47223538109529178</v>
      </c>
      <c r="P31" s="15">
        <v>122945</v>
      </c>
      <c r="Q31" s="16">
        <f t="shared" si="46"/>
        <v>159828.5</v>
      </c>
      <c r="R31" s="13">
        <v>154624</v>
      </c>
      <c r="S31" s="17">
        <f t="shared" si="47"/>
        <v>0.96743697150383068</v>
      </c>
      <c r="T31" s="16">
        <f t="shared" si="48"/>
        <v>207777.05000000002</v>
      </c>
      <c r="U31" s="13"/>
      <c r="V31" s="17">
        <f t="shared" si="49"/>
        <v>0</v>
      </c>
      <c r="W31" s="16">
        <f t="shared" si="50"/>
        <v>270110.16500000004</v>
      </c>
      <c r="X31" s="13"/>
      <c r="Y31" s="17">
        <f t="shared" si="51"/>
        <v>0</v>
      </c>
      <c r="Z31" s="17">
        <f t="shared" si="52"/>
        <v>0.32247899050127687</v>
      </c>
      <c r="AA31" s="15">
        <v>10</v>
      </c>
      <c r="AB31" s="16">
        <f t="shared" si="53"/>
        <v>13</v>
      </c>
      <c r="AC31" s="13">
        <v>24</v>
      </c>
      <c r="AD31" s="17">
        <f t="shared" si="54"/>
        <v>1.8461538461538463</v>
      </c>
      <c r="AE31" s="16">
        <f t="shared" si="55"/>
        <v>16.900000000000002</v>
      </c>
      <c r="AF31" s="13"/>
      <c r="AG31" s="17">
        <f t="shared" si="56"/>
        <v>0</v>
      </c>
      <c r="AH31" s="16">
        <f t="shared" si="57"/>
        <v>21.970000000000002</v>
      </c>
      <c r="AI31" s="13"/>
      <c r="AJ31" s="17">
        <f t="shared" si="58"/>
        <v>0</v>
      </c>
      <c r="AK31" s="17">
        <f t="shared" si="59"/>
        <v>0.61538461538461542</v>
      </c>
      <c r="AL31" s="15">
        <v>120</v>
      </c>
      <c r="AM31" s="16">
        <f t="shared" si="60"/>
        <v>156</v>
      </c>
      <c r="AN31" s="13">
        <v>532</v>
      </c>
      <c r="AO31" s="17">
        <f t="shared" si="61"/>
        <v>3.4102564102564101</v>
      </c>
      <c r="AP31" s="16">
        <f t="shared" si="62"/>
        <v>202.8</v>
      </c>
      <c r="AQ31" s="13"/>
      <c r="AR31" s="17">
        <f t="shared" si="63"/>
        <v>0</v>
      </c>
      <c r="AS31" s="16">
        <f t="shared" si="64"/>
        <v>263.64000000000004</v>
      </c>
      <c r="AT31" s="13"/>
      <c r="AU31" s="17">
        <f t="shared" si="65"/>
        <v>0</v>
      </c>
      <c r="AV31" s="17">
        <f t="shared" si="66"/>
        <v>1.1367521367521367</v>
      </c>
      <c r="AW31" s="15">
        <v>80</v>
      </c>
      <c r="AX31" s="16">
        <f t="shared" si="67"/>
        <v>104</v>
      </c>
      <c r="AY31" s="13">
        <v>224</v>
      </c>
      <c r="AZ31" s="17">
        <f t="shared" si="68"/>
        <v>2.1538461538461537</v>
      </c>
      <c r="BA31" s="16">
        <f t="shared" si="69"/>
        <v>135.20000000000002</v>
      </c>
      <c r="BB31" s="13"/>
      <c r="BC31" s="17">
        <f t="shared" si="70"/>
        <v>0</v>
      </c>
      <c r="BD31" s="16">
        <f t="shared" si="71"/>
        <v>175.76000000000002</v>
      </c>
      <c r="BE31" s="13"/>
      <c r="BF31" s="17">
        <f t="shared" si="72"/>
        <v>0</v>
      </c>
      <c r="BG31" s="17">
        <f t="shared" si="73"/>
        <v>0.71794871794871795</v>
      </c>
      <c r="BH31" s="17">
        <f t="shared" si="74"/>
        <v>0.39735718579828433</v>
      </c>
      <c r="BI31" s="17">
        <f t="shared" si="75"/>
        <v>0.92735042735042739</v>
      </c>
      <c r="BJ31" s="17">
        <f t="shared" si="76"/>
        <v>0.61538461538461542</v>
      </c>
      <c r="BK31" s="10">
        <f t="shared" si="77"/>
        <v>0.56255961062426973</v>
      </c>
      <c r="BL31" s="18">
        <f>IFERROR(LOOKUP(BK31,'Setup &amp; Assumptions'!$G$19:$G$23,'Setup &amp; Assumptions'!$H$19:$H$23),0)</f>
        <v>0</v>
      </c>
    </row>
    <row r="32" spans="2:64" x14ac:dyDescent="0.2">
      <c r="B32" s="2" t="s">
        <v>35</v>
      </c>
      <c r="C32" s="3" t="s">
        <v>133</v>
      </c>
      <c r="D32" s="13">
        <v>15500</v>
      </c>
      <c r="E32" s="15">
        <v>30182</v>
      </c>
      <c r="F32" s="16">
        <f t="shared" si="39"/>
        <v>39236.6</v>
      </c>
      <c r="G32" s="13">
        <v>13248</v>
      </c>
      <c r="H32" s="17">
        <f t="shared" si="40"/>
        <v>0.33764393448973662</v>
      </c>
      <c r="I32" s="16">
        <f t="shared" si="41"/>
        <v>51007.58</v>
      </c>
      <c r="J32" s="13"/>
      <c r="K32" s="17">
        <f t="shared" si="42"/>
        <v>0</v>
      </c>
      <c r="L32" s="16">
        <f t="shared" si="43"/>
        <v>66309.854000000007</v>
      </c>
      <c r="M32" s="13"/>
      <c r="N32" s="17">
        <f t="shared" si="44"/>
        <v>0</v>
      </c>
      <c r="O32" s="17">
        <f t="shared" si="45"/>
        <v>0.11254797816324554</v>
      </c>
      <c r="P32" s="15">
        <v>64215</v>
      </c>
      <c r="Q32" s="16">
        <f t="shared" si="46"/>
        <v>83479.5</v>
      </c>
      <c r="R32" s="13">
        <v>43771</v>
      </c>
      <c r="S32" s="17">
        <f t="shared" si="47"/>
        <v>0.52433232110877526</v>
      </c>
      <c r="T32" s="16">
        <f t="shared" si="48"/>
        <v>108523.35</v>
      </c>
      <c r="U32" s="13"/>
      <c r="V32" s="17">
        <f t="shared" si="49"/>
        <v>0</v>
      </c>
      <c r="W32" s="16">
        <f t="shared" si="50"/>
        <v>141080.35500000001</v>
      </c>
      <c r="X32" s="13"/>
      <c r="Y32" s="17">
        <f t="shared" si="51"/>
        <v>0</v>
      </c>
      <c r="Z32" s="17">
        <f t="shared" si="52"/>
        <v>0.17477744036959175</v>
      </c>
      <c r="AA32" s="15">
        <v>6</v>
      </c>
      <c r="AB32" s="16">
        <f t="shared" si="53"/>
        <v>7.8000000000000007</v>
      </c>
      <c r="AC32" s="13">
        <v>11</v>
      </c>
      <c r="AD32" s="17">
        <f t="shared" si="54"/>
        <v>1.4102564102564101</v>
      </c>
      <c r="AE32" s="16">
        <f t="shared" si="55"/>
        <v>10.14</v>
      </c>
      <c r="AF32" s="13"/>
      <c r="AG32" s="17">
        <f t="shared" si="56"/>
        <v>0</v>
      </c>
      <c r="AH32" s="16">
        <f t="shared" si="57"/>
        <v>13.182</v>
      </c>
      <c r="AI32" s="13"/>
      <c r="AJ32" s="17">
        <f t="shared" si="58"/>
        <v>0</v>
      </c>
      <c r="AK32" s="17">
        <f t="shared" si="59"/>
        <v>0.47008547008547003</v>
      </c>
      <c r="AL32" s="15">
        <v>104</v>
      </c>
      <c r="AM32" s="16">
        <f t="shared" si="60"/>
        <v>135.20000000000002</v>
      </c>
      <c r="AN32" s="13">
        <v>178</v>
      </c>
      <c r="AO32" s="17">
        <f t="shared" si="61"/>
        <v>1.3165680473372778</v>
      </c>
      <c r="AP32" s="16">
        <f t="shared" si="62"/>
        <v>175.76000000000002</v>
      </c>
      <c r="AQ32" s="13"/>
      <c r="AR32" s="17">
        <f t="shared" si="63"/>
        <v>0</v>
      </c>
      <c r="AS32" s="16">
        <f t="shared" si="64"/>
        <v>228.48800000000003</v>
      </c>
      <c r="AT32" s="13"/>
      <c r="AU32" s="17">
        <f t="shared" si="65"/>
        <v>0</v>
      </c>
      <c r="AV32" s="17">
        <f t="shared" si="66"/>
        <v>0.43885601577909261</v>
      </c>
      <c r="AW32" s="15">
        <v>33</v>
      </c>
      <c r="AX32" s="16">
        <f t="shared" si="67"/>
        <v>42.9</v>
      </c>
      <c r="AY32" s="13">
        <v>28</v>
      </c>
      <c r="AZ32" s="17">
        <f t="shared" si="68"/>
        <v>0.65268065268065267</v>
      </c>
      <c r="BA32" s="16">
        <f t="shared" si="69"/>
        <v>55.77</v>
      </c>
      <c r="BB32" s="13"/>
      <c r="BC32" s="17">
        <f t="shared" si="70"/>
        <v>0</v>
      </c>
      <c r="BD32" s="16">
        <f t="shared" si="71"/>
        <v>72.501000000000005</v>
      </c>
      <c r="BE32" s="13"/>
      <c r="BF32" s="17">
        <f t="shared" si="72"/>
        <v>0</v>
      </c>
      <c r="BG32" s="17">
        <f t="shared" si="73"/>
        <v>0.21756021756021757</v>
      </c>
      <c r="BH32" s="17">
        <f t="shared" si="74"/>
        <v>0.14366270926641864</v>
      </c>
      <c r="BI32" s="17">
        <f t="shared" si="75"/>
        <v>0.3282081166696551</v>
      </c>
      <c r="BJ32" s="17">
        <f t="shared" si="76"/>
        <v>0.47008547008547003</v>
      </c>
      <c r="BK32" s="10">
        <f t="shared" si="77"/>
        <v>0.23876247524008543</v>
      </c>
      <c r="BL32" s="18">
        <f>IFERROR(LOOKUP(BK32,'Setup &amp; Assumptions'!$G$19:$G$23,'Setup &amp; Assumptions'!$H$19:$H$23),0)</f>
        <v>0</v>
      </c>
    </row>
    <row r="33" spans="2:64" x14ac:dyDescent="0.2">
      <c r="B33" s="2" t="s">
        <v>39</v>
      </c>
      <c r="C33" s="3" t="s">
        <v>132</v>
      </c>
      <c r="D33" s="13">
        <v>30600</v>
      </c>
      <c r="E33" s="15">
        <v>55249</v>
      </c>
      <c r="F33" s="16">
        <f t="shared" si="39"/>
        <v>71823.7</v>
      </c>
      <c r="G33" s="13">
        <v>61278</v>
      </c>
      <c r="H33" s="17">
        <f t="shared" si="40"/>
        <v>0.85317242080260414</v>
      </c>
      <c r="I33" s="16">
        <f t="shared" si="41"/>
        <v>93370.81</v>
      </c>
      <c r="J33" s="13"/>
      <c r="K33" s="17">
        <f t="shared" si="42"/>
        <v>0</v>
      </c>
      <c r="L33" s="16">
        <f t="shared" si="43"/>
        <v>121382.053</v>
      </c>
      <c r="M33" s="13"/>
      <c r="N33" s="17">
        <f t="shared" si="44"/>
        <v>0</v>
      </c>
      <c r="O33" s="17">
        <f t="shared" si="45"/>
        <v>0.28439080693420138</v>
      </c>
      <c r="P33" s="15">
        <v>174106</v>
      </c>
      <c r="Q33" s="16">
        <f t="shared" si="46"/>
        <v>226337.80000000002</v>
      </c>
      <c r="R33" s="13">
        <v>87974</v>
      </c>
      <c r="S33" s="17">
        <f t="shared" si="47"/>
        <v>0.38868452375166673</v>
      </c>
      <c r="T33" s="16">
        <f t="shared" si="48"/>
        <v>294239.14</v>
      </c>
      <c r="U33" s="13"/>
      <c r="V33" s="17">
        <f t="shared" si="49"/>
        <v>0</v>
      </c>
      <c r="W33" s="16">
        <f t="shared" si="50"/>
        <v>382510.88200000004</v>
      </c>
      <c r="X33" s="13"/>
      <c r="Y33" s="17">
        <f t="shared" si="51"/>
        <v>0</v>
      </c>
      <c r="Z33" s="17">
        <f t="shared" si="52"/>
        <v>0.12956150791722224</v>
      </c>
      <c r="AA33" s="15">
        <v>13</v>
      </c>
      <c r="AB33" s="16">
        <f t="shared" si="53"/>
        <v>16.900000000000002</v>
      </c>
      <c r="AC33" s="13">
        <v>21</v>
      </c>
      <c r="AD33" s="17">
        <f t="shared" si="54"/>
        <v>1.2426035502958579</v>
      </c>
      <c r="AE33" s="16">
        <f t="shared" si="55"/>
        <v>21.970000000000002</v>
      </c>
      <c r="AF33" s="13"/>
      <c r="AG33" s="17">
        <f t="shared" si="56"/>
        <v>0</v>
      </c>
      <c r="AH33" s="16">
        <f t="shared" si="57"/>
        <v>28.561000000000003</v>
      </c>
      <c r="AI33" s="13"/>
      <c r="AJ33" s="17">
        <f t="shared" si="58"/>
        <v>0</v>
      </c>
      <c r="AK33" s="17">
        <f t="shared" si="59"/>
        <v>0.41420118343195261</v>
      </c>
      <c r="AL33" s="15">
        <v>140</v>
      </c>
      <c r="AM33" s="16">
        <f t="shared" si="60"/>
        <v>182</v>
      </c>
      <c r="AN33" s="13">
        <v>189</v>
      </c>
      <c r="AO33" s="17">
        <f t="shared" si="61"/>
        <v>1.0384615384615385</v>
      </c>
      <c r="AP33" s="16">
        <f t="shared" si="62"/>
        <v>236.6</v>
      </c>
      <c r="AQ33" s="13"/>
      <c r="AR33" s="17">
        <f t="shared" si="63"/>
        <v>0</v>
      </c>
      <c r="AS33" s="16">
        <f t="shared" si="64"/>
        <v>307.58</v>
      </c>
      <c r="AT33" s="13"/>
      <c r="AU33" s="17">
        <f t="shared" si="65"/>
        <v>0</v>
      </c>
      <c r="AV33" s="17">
        <f t="shared" si="66"/>
        <v>0.3461538461538462</v>
      </c>
      <c r="AW33" s="15">
        <v>85</v>
      </c>
      <c r="AX33" s="16">
        <f t="shared" si="67"/>
        <v>110.5</v>
      </c>
      <c r="AY33" s="13">
        <v>118</v>
      </c>
      <c r="AZ33" s="17">
        <f t="shared" si="68"/>
        <v>1.0678733031674208</v>
      </c>
      <c r="BA33" s="16">
        <f t="shared" si="69"/>
        <v>143.65</v>
      </c>
      <c r="BB33" s="13"/>
      <c r="BC33" s="17">
        <f t="shared" si="70"/>
        <v>0</v>
      </c>
      <c r="BD33" s="16">
        <f t="shared" si="71"/>
        <v>186.745</v>
      </c>
      <c r="BE33" s="13"/>
      <c r="BF33" s="17">
        <f t="shared" si="72"/>
        <v>0</v>
      </c>
      <c r="BG33" s="17">
        <f t="shared" si="73"/>
        <v>0.35595776772247362</v>
      </c>
      <c r="BH33" s="17">
        <f t="shared" si="74"/>
        <v>0.20697615742571179</v>
      </c>
      <c r="BI33" s="17">
        <f t="shared" si="75"/>
        <v>0.35105580693815991</v>
      </c>
      <c r="BJ33" s="17">
        <f t="shared" si="76"/>
        <v>0.41420118343195261</v>
      </c>
      <c r="BK33" s="10">
        <f t="shared" si="77"/>
        <v>0.27407982370475992</v>
      </c>
      <c r="BL33" s="18">
        <f>IFERROR(LOOKUP(BK33,'Setup &amp; Assumptions'!$G$19:$G$23,'Setup &amp; Assumptions'!$H$19:$H$23),0)</f>
        <v>0</v>
      </c>
    </row>
    <row r="34" spans="2:64" x14ac:dyDescent="0.2">
      <c r="B34" s="2" t="s">
        <v>43</v>
      </c>
      <c r="C34" s="3" t="s">
        <v>132</v>
      </c>
      <c r="D34" s="13">
        <v>18600</v>
      </c>
      <c r="E34" s="15">
        <v>40978</v>
      </c>
      <c r="F34" s="16">
        <f t="shared" si="39"/>
        <v>53271.4</v>
      </c>
      <c r="G34" s="13">
        <v>23245</v>
      </c>
      <c r="H34" s="17">
        <f t="shared" si="40"/>
        <v>0.43635046197396726</v>
      </c>
      <c r="I34" s="16">
        <f t="shared" si="41"/>
        <v>69252.820000000007</v>
      </c>
      <c r="J34" s="13"/>
      <c r="K34" s="17">
        <f t="shared" si="42"/>
        <v>0</v>
      </c>
      <c r="L34" s="16">
        <f t="shared" si="43"/>
        <v>90028.666000000012</v>
      </c>
      <c r="M34" s="13"/>
      <c r="N34" s="17">
        <f t="shared" si="44"/>
        <v>0</v>
      </c>
      <c r="O34" s="17">
        <f t="shared" si="45"/>
        <v>0.14545015399132241</v>
      </c>
      <c r="P34" s="15">
        <v>88684</v>
      </c>
      <c r="Q34" s="16">
        <f t="shared" si="46"/>
        <v>115289.2</v>
      </c>
      <c r="R34" s="13">
        <v>45139</v>
      </c>
      <c r="S34" s="17">
        <f t="shared" si="47"/>
        <v>0.39152843458016884</v>
      </c>
      <c r="T34" s="16">
        <f t="shared" si="48"/>
        <v>149875.96</v>
      </c>
      <c r="U34" s="13"/>
      <c r="V34" s="17">
        <f t="shared" si="49"/>
        <v>0</v>
      </c>
      <c r="W34" s="16">
        <f t="shared" si="50"/>
        <v>194838.74799999999</v>
      </c>
      <c r="X34" s="13"/>
      <c r="Y34" s="17">
        <f t="shared" si="51"/>
        <v>0</v>
      </c>
      <c r="Z34" s="17">
        <f t="shared" si="52"/>
        <v>0.13050947819338962</v>
      </c>
      <c r="AA34" s="15">
        <v>8</v>
      </c>
      <c r="AB34" s="16">
        <f t="shared" si="53"/>
        <v>10.4</v>
      </c>
      <c r="AC34" s="13">
        <v>6</v>
      </c>
      <c r="AD34" s="17">
        <f t="shared" si="54"/>
        <v>0.57692307692307687</v>
      </c>
      <c r="AE34" s="16">
        <f t="shared" si="55"/>
        <v>13.520000000000001</v>
      </c>
      <c r="AF34" s="13"/>
      <c r="AG34" s="17">
        <f t="shared" si="56"/>
        <v>0</v>
      </c>
      <c r="AH34" s="16">
        <f t="shared" si="57"/>
        <v>17.576000000000004</v>
      </c>
      <c r="AI34" s="13"/>
      <c r="AJ34" s="17">
        <f t="shared" si="58"/>
        <v>0</v>
      </c>
      <c r="AK34" s="17">
        <f t="shared" si="59"/>
        <v>0.19230769230769229</v>
      </c>
      <c r="AL34" s="15">
        <v>82</v>
      </c>
      <c r="AM34" s="16">
        <f t="shared" si="60"/>
        <v>106.60000000000001</v>
      </c>
      <c r="AN34" s="13">
        <v>116</v>
      </c>
      <c r="AO34" s="17">
        <f t="shared" si="61"/>
        <v>1.0881801125703563</v>
      </c>
      <c r="AP34" s="16">
        <f t="shared" si="62"/>
        <v>138.58000000000001</v>
      </c>
      <c r="AQ34" s="13"/>
      <c r="AR34" s="17">
        <f t="shared" si="63"/>
        <v>0</v>
      </c>
      <c r="AS34" s="16">
        <f t="shared" si="64"/>
        <v>180.15400000000002</v>
      </c>
      <c r="AT34" s="13"/>
      <c r="AU34" s="17">
        <f t="shared" si="65"/>
        <v>0</v>
      </c>
      <c r="AV34" s="17">
        <f t="shared" si="66"/>
        <v>0.36272670419011876</v>
      </c>
      <c r="AW34" s="15">
        <v>25</v>
      </c>
      <c r="AX34" s="16">
        <f t="shared" si="67"/>
        <v>32.5</v>
      </c>
      <c r="AY34" s="13">
        <v>58</v>
      </c>
      <c r="AZ34" s="17">
        <f t="shared" si="68"/>
        <v>1.7846153846153847</v>
      </c>
      <c r="BA34" s="16">
        <f t="shared" si="69"/>
        <v>42.25</v>
      </c>
      <c r="BB34" s="13"/>
      <c r="BC34" s="17">
        <f t="shared" si="70"/>
        <v>0</v>
      </c>
      <c r="BD34" s="16">
        <f t="shared" si="71"/>
        <v>54.925000000000004</v>
      </c>
      <c r="BE34" s="13"/>
      <c r="BF34" s="17">
        <f t="shared" si="72"/>
        <v>0</v>
      </c>
      <c r="BG34" s="17">
        <f t="shared" si="73"/>
        <v>0.59487179487179487</v>
      </c>
      <c r="BH34" s="17">
        <f t="shared" si="74"/>
        <v>0.13797981609235602</v>
      </c>
      <c r="BI34" s="17">
        <f t="shared" si="75"/>
        <v>0.47879924953095682</v>
      </c>
      <c r="BJ34" s="17">
        <f t="shared" si="76"/>
        <v>0.19230769230769229</v>
      </c>
      <c r="BK34" s="10">
        <f t="shared" si="77"/>
        <v>0.23133385588430666</v>
      </c>
      <c r="BL34" s="18">
        <f>IFERROR(LOOKUP(BK34,'Setup &amp; Assumptions'!$G$19:$G$23,'Setup &amp; Assumptions'!$H$19:$H$23),0)</f>
        <v>0</v>
      </c>
    </row>
    <row r="35" spans="2:64" x14ac:dyDescent="0.2">
      <c r="B35" s="2" t="s">
        <v>47</v>
      </c>
      <c r="C35" s="3" t="s">
        <v>133</v>
      </c>
      <c r="D35" s="13">
        <v>16500</v>
      </c>
      <c r="E35" s="15">
        <v>22830</v>
      </c>
      <c r="F35" s="16">
        <f t="shared" si="39"/>
        <v>29679</v>
      </c>
      <c r="G35" s="13">
        <v>29015</v>
      </c>
      <c r="H35" s="17">
        <f t="shared" si="40"/>
        <v>0.97762727854712084</v>
      </c>
      <c r="I35" s="16">
        <f t="shared" si="41"/>
        <v>38582.700000000004</v>
      </c>
      <c r="J35" s="13"/>
      <c r="K35" s="17">
        <f t="shared" si="42"/>
        <v>0</v>
      </c>
      <c r="L35" s="16">
        <f t="shared" si="43"/>
        <v>50157.510000000009</v>
      </c>
      <c r="M35" s="13"/>
      <c r="N35" s="17">
        <f t="shared" si="44"/>
        <v>0</v>
      </c>
      <c r="O35" s="17">
        <f t="shared" si="45"/>
        <v>0.32587575951570696</v>
      </c>
      <c r="P35" s="15">
        <v>44071</v>
      </c>
      <c r="Q35" s="16">
        <f t="shared" si="46"/>
        <v>57292.3</v>
      </c>
      <c r="R35" s="13">
        <v>41189</v>
      </c>
      <c r="S35" s="17">
        <f t="shared" si="47"/>
        <v>0.7189273253124765</v>
      </c>
      <c r="T35" s="16">
        <f t="shared" si="48"/>
        <v>74479.990000000005</v>
      </c>
      <c r="U35" s="13"/>
      <c r="V35" s="17">
        <f t="shared" si="49"/>
        <v>0</v>
      </c>
      <c r="W35" s="16">
        <f t="shared" si="50"/>
        <v>96823.987000000008</v>
      </c>
      <c r="X35" s="13"/>
      <c r="Y35" s="17">
        <f t="shared" si="51"/>
        <v>0</v>
      </c>
      <c r="Z35" s="17">
        <f t="shared" si="52"/>
        <v>0.2396424417708255</v>
      </c>
      <c r="AA35" s="15">
        <v>5</v>
      </c>
      <c r="AB35" s="16">
        <f t="shared" si="53"/>
        <v>6.5</v>
      </c>
      <c r="AC35" s="13">
        <v>14</v>
      </c>
      <c r="AD35" s="17">
        <f t="shared" si="54"/>
        <v>2.1538461538461537</v>
      </c>
      <c r="AE35" s="16">
        <f t="shared" si="55"/>
        <v>8.4500000000000011</v>
      </c>
      <c r="AF35" s="13"/>
      <c r="AG35" s="17">
        <f t="shared" si="56"/>
        <v>0</v>
      </c>
      <c r="AH35" s="16">
        <f t="shared" si="57"/>
        <v>10.985000000000001</v>
      </c>
      <c r="AI35" s="13"/>
      <c r="AJ35" s="17">
        <f t="shared" si="58"/>
        <v>0</v>
      </c>
      <c r="AK35" s="17">
        <f t="shared" si="59"/>
        <v>0.71794871794871795</v>
      </c>
      <c r="AL35" s="15">
        <v>81</v>
      </c>
      <c r="AM35" s="16">
        <f t="shared" si="60"/>
        <v>105.3</v>
      </c>
      <c r="AN35" s="13">
        <v>192</v>
      </c>
      <c r="AO35" s="17">
        <f t="shared" si="61"/>
        <v>1.8233618233618234</v>
      </c>
      <c r="AP35" s="16">
        <f t="shared" si="62"/>
        <v>136.89000000000001</v>
      </c>
      <c r="AQ35" s="13"/>
      <c r="AR35" s="17">
        <f t="shared" si="63"/>
        <v>0</v>
      </c>
      <c r="AS35" s="16">
        <f t="shared" si="64"/>
        <v>177.95700000000002</v>
      </c>
      <c r="AT35" s="13"/>
      <c r="AU35" s="17">
        <f t="shared" si="65"/>
        <v>0</v>
      </c>
      <c r="AV35" s="17">
        <f t="shared" si="66"/>
        <v>0.6077872744539411</v>
      </c>
      <c r="AW35" s="15">
        <v>15</v>
      </c>
      <c r="AX35" s="16">
        <f t="shared" si="67"/>
        <v>19.5</v>
      </c>
      <c r="AY35" s="13">
        <v>45</v>
      </c>
      <c r="AZ35" s="17">
        <f t="shared" si="68"/>
        <v>2.3076923076923075</v>
      </c>
      <c r="BA35" s="16">
        <f t="shared" si="69"/>
        <v>25.35</v>
      </c>
      <c r="BB35" s="13"/>
      <c r="BC35" s="17">
        <f t="shared" si="70"/>
        <v>0</v>
      </c>
      <c r="BD35" s="16">
        <f t="shared" si="71"/>
        <v>32.955000000000005</v>
      </c>
      <c r="BE35" s="13"/>
      <c r="BF35" s="17">
        <f t="shared" si="72"/>
        <v>0</v>
      </c>
      <c r="BG35" s="17">
        <f t="shared" si="73"/>
        <v>0.76923076923076916</v>
      </c>
      <c r="BH35" s="17">
        <f t="shared" si="74"/>
        <v>0.28275910064326626</v>
      </c>
      <c r="BI35" s="17">
        <f t="shared" si="75"/>
        <v>0.68850902184235507</v>
      </c>
      <c r="BJ35" s="17">
        <f t="shared" si="76"/>
        <v>0.71794871794871795</v>
      </c>
      <c r="BK35" s="10">
        <f t="shared" si="77"/>
        <v>0.44947502353885621</v>
      </c>
      <c r="BL35" s="18">
        <f>IFERROR(LOOKUP(BK35,'Setup &amp; Assumptions'!$G$19:$G$23,'Setup &amp; Assumptions'!$H$19:$H$23),0)</f>
        <v>0</v>
      </c>
    </row>
    <row r="36" spans="2:64" x14ac:dyDescent="0.2">
      <c r="B36" s="2" t="s">
        <v>49</v>
      </c>
      <c r="C36" s="45" t="s">
        <v>131</v>
      </c>
      <c r="D36" s="13">
        <v>16500</v>
      </c>
      <c r="E36" s="15">
        <v>22830</v>
      </c>
      <c r="F36" s="16">
        <f t="shared" si="39"/>
        <v>29679</v>
      </c>
      <c r="G36" s="13">
        <v>29015</v>
      </c>
      <c r="H36" s="17">
        <f t="shared" si="40"/>
        <v>0.97762727854712084</v>
      </c>
      <c r="I36" s="16">
        <f t="shared" si="41"/>
        <v>38582.700000000004</v>
      </c>
      <c r="J36" s="13"/>
      <c r="K36" s="17">
        <f t="shared" si="42"/>
        <v>0</v>
      </c>
      <c r="L36" s="16">
        <f t="shared" si="43"/>
        <v>50157.510000000009</v>
      </c>
      <c r="M36" s="13"/>
      <c r="N36" s="17">
        <f t="shared" si="44"/>
        <v>0</v>
      </c>
      <c r="O36" s="17">
        <f t="shared" si="45"/>
        <v>0.32587575951570696</v>
      </c>
      <c r="P36" s="15">
        <v>44071</v>
      </c>
      <c r="Q36" s="16">
        <f t="shared" si="46"/>
        <v>57292.3</v>
      </c>
      <c r="R36" s="13">
        <v>41188</v>
      </c>
      <c r="S36" s="17">
        <f t="shared" si="47"/>
        <v>0.71890987095997194</v>
      </c>
      <c r="T36" s="16">
        <f t="shared" si="48"/>
        <v>74479.990000000005</v>
      </c>
      <c r="U36" s="13"/>
      <c r="V36" s="17">
        <f t="shared" si="49"/>
        <v>0</v>
      </c>
      <c r="W36" s="16">
        <f t="shared" si="50"/>
        <v>96823.987000000008</v>
      </c>
      <c r="X36" s="13"/>
      <c r="Y36" s="17">
        <f t="shared" si="51"/>
        <v>0</v>
      </c>
      <c r="Z36" s="17">
        <f t="shared" si="52"/>
        <v>0.23963662365332397</v>
      </c>
      <c r="AA36" s="15">
        <v>5</v>
      </c>
      <c r="AB36" s="16">
        <f t="shared" si="53"/>
        <v>6.5</v>
      </c>
      <c r="AC36" s="13">
        <v>13</v>
      </c>
      <c r="AD36" s="17">
        <f t="shared" si="54"/>
        <v>2</v>
      </c>
      <c r="AE36" s="16">
        <f t="shared" si="55"/>
        <v>8.4500000000000011</v>
      </c>
      <c r="AF36" s="13"/>
      <c r="AG36" s="17">
        <f t="shared" si="56"/>
        <v>0</v>
      </c>
      <c r="AH36" s="16">
        <f t="shared" si="57"/>
        <v>10.985000000000001</v>
      </c>
      <c r="AI36" s="13"/>
      <c r="AJ36" s="17">
        <f t="shared" si="58"/>
        <v>0</v>
      </c>
      <c r="AK36" s="17">
        <f t="shared" si="59"/>
        <v>0.66666666666666663</v>
      </c>
      <c r="AL36" s="15">
        <v>81</v>
      </c>
      <c r="AM36" s="16">
        <f t="shared" si="60"/>
        <v>105.3</v>
      </c>
      <c r="AN36" s="13">
        <v>191</v>
      </c>
      <c r="AO36" s="17">
        <f t="shared" si="61"/>
        <v>1.8138651471984806</v>
      </c>
      <c r="AP36" s="16">
        <f t="shared" si="62"/>
        <v>136.89000000000001</v>
      </c>
      <c r="AQ36" s="13"/>
      <c r="AR36" s="17">
        <f t="shared" si="63"/>
        <v>0</v>
      </c>
      <c r="AS36" s="16">
        <f t="shared" si="64"/>
        <v>177.95700000000002</v>
      </c>
      <c r="AT36" s="13"/>
      <c r="AU36" s="17">
        <f t="shared" si="65"/>
        <v>0</v>
      </c>
      <c r="AV36" s="17">
        <f t="shared" si="66"/>
        <v>0.60462171573282686</v>
      </c>
      <c r="AW36" s="15">
        <v>15</v>
      </c>
      <c r="AX36" s="16">
        <f t="shared" si="67"/>
        <v>19.5</v>
      </c>
      <c r="AY36" s="13">
        <v>44</v>
      </c>
      <c r="AZ36" s="17">
        <f t="shared" si="68"/>
        <v>2.2564102564102564</v>
      </c>
      <c r="BA36" s="16">
        <f t="shared" si="69"/>
        <v>25.35</v>
      </c>
      <c r="BB36" s="13"/>
      <c r="BC36" s="17">
        <f t="shared" si="70"/>
        <v>0</v>
      </c>
      <c r="BD36" s="16">
        <f t="shared" si="71"/>
        <v>32.955000000000005</v>
      </c>
      <c r="BE36" s="13"/>
      <c r="BF36" s="17">
        <f t="shared" si="72"/>
        <v>0</v>
      </c>
      <c r="BG36" s="17">
        <f t="shared" si="73"/>
        <v>0.75213675213675213</v>
      </c>
      <c r="BH36" s="17">
        <f t="shared" si="74"/>
        <v>0.28275619158451548</v>
      </c>
      <c r="BI36" s="17">
        <f t="shared" si="75"/>
        <v>0.67837923393478949</v>
      </c>
      <c r="BJ36" s="17">
        <f t="shared" si="76"/>
        <v>0.66666666666666663</v>
      </c>
      <c r="BK36" s="10">
        <f t="shared" si="77"/>
        <v>0.43924852343440662</v>
      </c>
      <c r="BL36" s="18">
        <f>IFERROR(LOOKUP(BK36,'Setup &amp; Assumptions'!$G$19:$G$23,'Setup &amp; Assumptions'!$H$19:$H$23),0)</f>
        <v>0</v>
      </c>
    </row>
    <row r="37" spans="2:64" x14ac:dyDescent="0.2">
      <c r="B37" s="2" t="s">
        <v>50</v>
      </c>
      <c r="C37" s="3" t="s">
        <v>133</v>
      </c>
      <c r="D37" s="13">
        <v>27300</v>
      </c>
      <c r="E37" s="15">
        <v>29231</v>
      </c>
      <c r="F37" s="16">
        <f t="shared" si="39"/>
        <v>38000.300000000003</v>
      </c>
      <c r="G37" s="13">
        <v>28056</v>
      </c>
      <c r="H37" s="17">
        <f t="shared" si="40"/>
        <v>0.73830996071083643</v>
      </c>
      <c r="I37" s="16">
        <f t="shared" si="41"/>
        <v>49400.390000000007</v>
      </c>
      <c r="J37" s="13"/>
      <c r="K37" s="17">
        <f t="shared" si="42"/>
        <v>0</v>
      </c>
      <c r="L37" s="16">
        <f t="shared" si="43"/>
        <v>64220.507000000012</v>
      </c>
      <c r="M37" s="13"/>
      <c r="N37" s="17">
        <f t="shared" si="44"/>
        <v>0</v>
      </c>
      <c r="O37" s="17">
        <f t="shared" si="45"/>
        <v>0.24610332023694548</v>
      </c>
      <c r="P37" s="15">
        <v>54195</v>
      </c>
      <c r="Q37" s="16">
        <f t="shared" si="46"/>
        <v>70453.5</v>
      </c>
      <c r="R37" s="13">
        <v>151959</v>
      </c>
      <c r="S37" s="17">
        <f t="shared" si="47"/>
        <v>2.1568694245140412</v>
      </c>
      <c r="T37" s="16">
        <f t="shared" si="48"/>
        <v>91589.55</v>
      </c>
      <c r="U37" s="13"/>
      <c r="V37" s="17">
        <f t="shared" si="49"/>
        <v>0</v>
      </c>
      <c r="W37" s="16">
        <f t="shared" si="50"/>
        <v>119066.41500000001</v>
      </c>
      <c r="X37" s="13"/>
      <c r="Y37" s="17">
        <f t="shared" si="51"/>
        <v>0</v>
      </c>
      <c r="Z37" s="17">
        <f t="shared" si="52"/>
        <v>0.71895647483801373</v>
      </c>
      <c r="AA37" s="15">
        <v>14</v>
      </c>
      <c r="AB37" s="16">
        <f t="shared" si="53"/>
        <v>18.2</v>
      </c>
      <c r="AC37" s="13">
        <v>10</v>
      </c>
      <c r="AD37" s="17">
        <f t="shared" si="54"/>
        <v>0.5494505494505495</v>
      </c>
      <c r="AE37" s="16">
        <f t="shared" si="55"/>
        <v>23.66</v>
      </c>
      <c r="AF37" s="13"/>
      <c r="AG37" s="17">
        <f t="shared" si="56"/>
        <v>0</v>
      </c>
      <c r="AH37" s="16">
        <f t="shared" si="57"/>
        <v>30.758000000000003</v>
      </c>
      <c r="AI37" s="13"/>
      <c r="AJ37" s="17">
        <f t="shared" si="58"/>
        <v>0</v>
      </c>
      <c r="AK37" s="17">
        <f t="shared" si="59"/>
        <v>0.18315018315018317</v>
      </c>
      <c r="AL37" s="15">
        <v>87</v>
      </c>
      <c r="AM37" s="16">
        <f t="shared" si="60"/>
        <v>113.10000000000001</v>
      </c>
      <c r="AN37" s="13">
        <v>1023</v>
      </c>
      <c r="AO37" s="17">
        <f t="shared" si="61"/>
        <v>9.0450928381962861</v>
      </c>
      <c r="AP37" s="16">
        <f t="shared" si="62"/>
        <v>147.03000000000003</v>
      </c>
      <c r="AQ37" s="13"/>
      <c r="AR37" s="17">
        <f t="shared" si="63"/>
        <v>0</v>
      </c>
      <c r="AS37" s="16">
        <f t="shared" si="64"/>
        <v>191.13900000000004</v>
      </c>
      <c r="AT37" s="13"/>
      <c r="AU37" s="17">
        <f t="shared" si="65"/>
        <v>0</v>
      </c>
      <c r="AV37" s="17">
        <f t="shared" si="66"/>
        <v>3.0150309460654285</v>
      </c>
      <c r="AW37" s="15">
        <v>63</v>
      </c>
      <c r="AX37" s="16">
        <f t="shared" si="67"/>
        <v>81.900000000000006</v>
      </c>
      <c r="AY37" s="13">
        <v>52</v>
      </c>
      <c r="AZ37" s="17">
        <f t="shared" si="68"/>
        <v>0.63492063492063489</v>
      </c>
      <c r="BA37" s="16">
        <f t="shared" si="69"/>
        <v>106.47000000000001</v>
      </c>
      <c r="BB37" s="13"/>
      <c r="BC37" s="17">
        <f t="shared" si="70"/>
        <v>0</v>
      </c>
      <c r="BD37" s="16">
        <f t="shared" si="71"/>
        <v>138.41100000000003</v>
      </c>
      <c r="BE37" s="13"/>
      <c r="BF37" s="17">
        <f t="shared" si="72"/>
        <v>0</v>
      </c>
      <c r="BG37" s="17">
        <f t="shared" si="73"/>
        <v>0.21164021164021163</v>
      </c>
      <c r="BH37" s="17">
        <f t="shared" si="74"/>
        <v>0.4825298975374796</v>
      </c>
      <c r="BI37" s="17">
        <f t="shared" si="75"/>
        <v>1.6133355788528201</v>
      </c>
      <c r="BJ37" s="17">
        <f t="shared" si="76"/>
        <v>0.18315018315018317</v>
      </c>
      <c r="BK37" s="10">
        <f t="shared" si="77"/>
        <v>0.72032436070822026</v>
      </c>
      <c r="BL37" s="18">
        <f>IFERROR(LOOKUP(BK37,'Setup &amp; Assumptions'!$G$19:$G$23,'Setup &amp; Assumptions'!$H$19:$H$23),0)</f>
        <v>0</v>
      </c>
    </row>
  </sheetData>
  <mergeCells count="22">
    <mergeCell ref="E27:O27"/>
    <mergeCell ref="P27:Z27"/>
    <mergeCell ref="AA27:AK27"/>
    <mergeCell ref="AL27:AV27"/>
    <mergeCell ref="AW27:BG27"/>
    <mergeCell ref="B23:BL23"/>
    <mergeCell ref="B24:BL24"/>
    <mergeCell ref="E26:Z26"/>
    <mergeCell ref="AA26:AK26"/>
    <mergeCell ref="AL26:BG26"/>
    <mergeCell ref="BH26:BL26"/>
    <mergeCell ref="B2:BL2"/>
    <mergeCell ref="B3:BL3"/>
    <mergeCell ref="E5:Z5"/>
    <mergeCell ref="AA5:AK5"/>
    <mergeCell ref="AL5:BG5"/>
    <mergeCell ref="BH5:BL5"/>
    <mergeCell ref="E6:O6"/>
    <mergeCell ref="P6:Z6"/>
    <mergeCell ref="AA6:AK6"/>
    <mergeCell ref="AL6:AV6"/>
    <mergeCell ref="AW6:BG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F16"/>
  <sheetViews>
    <sheetView showGridLines="0"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I12" sqref="I12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3" width="10" customWidth="1"/>
    <col min="4" max="32" width="11" customWidth="1"/>
  </cols>
  <sheetData>
    <row r="2" spans="2:32" ht="18" x14ac:dyDescent="0.2">
      <c r="B2" s="51" t="s">
        <v>134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spans="2:32" x14ac:dyDescent="0.2">
      <c r="B3" s="49" t="s">
        <v>135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</row>
    <row r="5" spans="2:32" ht="19.5" customHeight="1" x14ac:dyDescent="0.2">
      <c r="D5" s="52" t="s">
        <v>136</v>
      </c>
      <c r="E5" s="52"/>
      <c r="F5" s="52"/>
      <c r="G5" s="52"/>
      <c r="H5" s="52"/>
      <c r="I5" s="52"/>
      <c r="J5" s="52"/>
      <c r="K5" s="52"/>
      <c r="L5" s="52" t="s">
        <v>137</v>
      </c>
      <c r="M5" s="52"/>
      <c r="N5" s="52"/>
      <c r="O5" s="52"/>
      <c r="P5" s="52"/>
      <c r="Q5" s="52"/>
      <c r="R5" s="52"/>
      <c r="S5" s="52"/>
      <c r="T5" s="52" t="s">
        <v>138</v>
      </c>
      <c r="U5" s="52"/>
      <c r="V5" s="52"/>
      <c r="W5" s="52"/>
      <c r="X5" s="52"/>
      <c r="Y5" s="52"/>
      <c r="Z5" s="52"/>
      <c r="AA5" s="52"/>
      <c r="AB5" s="52" t="s">
        <v>112</v>
      </c>
      <c r="AC5" s="52"/>
      <c r="AD5" s="52"/>
      <c r="AE5" s="52"/>
      <c r="AF5" s="52"/>
    </row>
    <row r="6" spans="2:32" ht="21.75" customHeight="1" x14ac:dyDescent="0.2">
      <c r="D6" s="50" t="s">
        <v>79</v>
      </c>
      <c r="E6" s="50"/>
      <c r="F6" s="50"/>
      <c r="G6" s="50"/>
      <c r="H6" s="50" t="s">
        <v>83</v>
      </c>
      <c r="I6" s="50"/>
      <c r="J6" s="50"/>
      <c r="K6" s="50"/>
      <c r="L6" s="50" t="s">
        <v>87</v>
      </c>
      <c r="M6" s="50"/>
      <c r="N6" s="50"/>
      <c r="O6" s="50"/>
      <c r="P6" s="50" t="s">
        <v>93</v>
      </c>
      <c r="Q6" s="50"/>
      <c r="R6" s="50"/>
      <c r="S6" s="50"/>
      <c r="T6" s="50" t="s">
        <v>96</v>
      </c>
      <c r="U6" s="50"/>
      <c r="V6" s="50"/>
      <c r="W6" s="50"/>
      <c r="X6" s="50" t="s">
        <v>139</v>
      </c>
      <c r="Y6" s="50"/>
      <c r="Z6" s="50"/>
      <c r="AA6" s="50"/>
    </row>
    <row r="7" spans="2:32" ht="27.75" customHeight="1" x14ac:dyDescent="0.2">
      <c r="B7" s="4" t="s">
        <v>13</v>
      </c>
      <c r="C7" s="4" t="s">
        <v>140</v>
      </c>
      <c r="D7" s="14" t="s">
        <v>116</v>
      </c>
      <c r="E7" s="4" t="s">
        <v>141</v>
      </c>
      <c r="F7" s="4" t="s">
        <v>142</v>
      </c>
      <c r="G7" s="4" t="s">
        <v>143</v>
      </c>
      <c r="H7" s="14" t="s">
        <v>116</v>
      </c>
      <c r="I7" s="4" t="s">
        <v>141</v>
      </c>
      <c r="J7" s="4" t="s">
        <v>142</v>
      </c>
      <c r="K7" s="4" t="s">
        <v>143</v>
      </c>
      <c r="L7" s="14" t="s">
        <v>116</v>
      </c>
      <c r="M7" s="4" t="s">
        <v>141</v>
      </c>
      <c r="N7" s="4" t="s">
        <v>142</v>
      </c>
      <c r="O7" s="4" t="s">
        <v>143</v>
      </c>
      <c r="P7" s="14" t="s">
        <v>116</v>
      </c>
      <c r="Q7" s="4" t="s">
        <v>141</v>
      </c>
      <c r="R7" s="4" t="s">
        <v>142</v>
      </c>
      <c r="S7" s="4" t="s">
        <v>143</v>
      </c>
      <c r="T7" s="14" t="s">
        <v>116</v>
      </c>
      <c r="U7" s="4" t="s">
        <v>141</v>
      </c>
      <c r="V7" s="4" t="s">
        <v>142</v>
      </c>
      <c r="W7" s="4" t="s">
        <v>143</v>
      </c>
      <c r="X7" s="14" t="s">
        <v>116</v>
      </c>
      <c r="Y7" s="4" t="s">
        <v>141</v>
      </c>
      <c r="Z7" s="4" t="s">
        <v>142</v>
      </c>
      <c r="AA7" s="4" t="s">
        <v>143</v>
      </c>
      <c r="AB7" s="4" t="s">
        <v>127</v>
      </c>
      <c r="AC7" s="4" t="s">
        <v>128</v>
      </c>
      <c r="AD7" s="4" t="s">
        <v>129</v>
      </c>
      <c r="AE7" s="4" t="s">
        <v>130</v>
      </c>
      <c r="AF7" s="4" t="s">
        <v>53</v>
      </c>
    </row>
    <row r="8" spans="2:32" x14ac:dyDescent="0.2">
      <c r="B8" s="2" t="s">
        <v>17</v>
      </c>
      <c r="C8" s="3" t="s">
        <v>18</v>
      </c>
      <c r="D8" s="15">
        <v>232</v>
      </c>
      <c r="E8" s="16">
        <f>D8*'Setup &amp; Assumptions'!$L$28</f>
        <v>278.39999999999998</v>
      </c>
      <c r="F8" s="13">
        <v>464</v>
      </c>
      <c r="G8" s="17">
        <f t="shared" ref="G8:G16" si="0">IFERROR(F8/E8,0)</f>
        <v>1.6666666666666667</v>
      </c>
      <c r="H8" s="19">
        <v>81</v>
      </c>
      <c r="I8" s="20">
        <f>H8*'Setup &amp; Assumptions'!$L$29</f>
        <v>72.900000000000006</v>
      </c>
      <c r="J8" s="21">
        <v>80</v>
      </c>
      <c r="K8" s="17">
        <f t="shared" ref="K8:K16" si="1">IFERROR(I8/J8,0)</f>
        <v>0.91125000000000012</v>
      </c>
      <c r="L8" s="15">
        <v>441282</v>
      </c>
      <c r="M8" s="16">
        <f>L8*'Setup &amp; Assumptions'!$L$30</f>
        <v>507474.3</v>
      </c>
      <c r="N8" s="13">
        <v>622131</v>
      </c>
      <c r="O8" s="17">
        <f t="shared" ref="O8:O16" si="2">IFERROR(N8/M8,0)</f>
        <v>1.2259359735064417</v>
      </c>
      <c r="P8" s="15">
        <v>1819524</v>
      </c>
      <c r="Q8" s="16">
        <f>P8*'Setup &amp; Assumptions'!$L$31</f>
        <v>2092452.5999999999</v>
      </c>
      <c r="R8" s="13">
        <v>3182264</v>
      </c>
      <c r="S8" s="17">
        <f t="shared" ref="S8:S16" si="3">IFERROR(R8/Q8,0)</f>
        <v>1.5208296713626872</v>
      </c>
      <c r="T8" s="22">
        <v>1</v>
      </c>
      <c r="U8" s="23">
        <f>'Setup &amp; Assumptions'!$L$32</f>
        <v>1</v>
      </c>
      <c r="V8" s="6"/>
      <c r="W8" s="17">
        <f t="shared" ref="W8:W16" si="4">IFERROR(MAX(0,1-ABS(V8-U8)/U8),0)</f>
        <v>0</v>
      </c>
      <c r="X8" s="15">
        <v>2</v>
      </c>
      <c r="Y8" s="16">
        <f>'Setup &amp; Assumptions'!$L$33*3</f>
        <v>9</v>
      </c>
      <c r="Z8" s="13"/>
      <c r="AA8" s="17">
        <f t="shared" ref="AA8:AA16" si="5">IFERROR(Z8/Y8,0)</f>
        <v>0</v>
      </c>
      <c r="AB8" s="17">
        <f t="shared" ref="AB8:AB16" si="6">AVERAGE(G8,K8)</f>
        <v>1.2889583333333334</v>
      </c>
      <c r="AC8" s="17">
        <f t="shared" ref="AC8:AC16" si="7">AVERAGE(O8,S8)</f>
        <v>1.3733828224345643</v>
      </c>
      <c r="AD8" s="17">
        <f t="shared" ref="AD8:AD16" si="8">AVERAGE(W8,AA8)</f>
        <v>0</v>
      </c>
      <c r="AE8" s="10">
        <f t="shared" ref="AE8:AE16" si="9">AB8*0.6+AC8*0.25+AD8*0.15</f>
        <v>1.1167207056086412</v>
      </c>
      <c r="AF8" s="18">
        <f>IFERROR(LOOKUP(AE8,'Setup &amp; Assumptions'!$G$19:$G$23,'Setup &amp; Assumptions'!$H$19:$H$23),0)</f>
        <v>1.1499999999999999</v>
      </c>
    </row>
    <row r="9" spans="2:32" x14ac:dyDescent="0.2">
      <c r="B9" s="2" t="s">
        <v>22</v>
      </c>
      <c r="C9" s="3" t="s">
        <v>23</v>
      </c>
      <c r="D9" s="15">
        <v>232</v>
      </c>
      <c r="E9" s="16">
        <f>D9*'Setup &amp; Assumptions'!$L$28</f>
        <v>278.39999999999998</v>
      </c>
      <c r="F9" s="13"/>
      <c r="G9" s="17">
        <f t="shared" si="0"/>
        <v>0</v>
      </c>
      <c r="H9" s="19">
        <v>0</v>
      </c>
      <c r="I9" s="20">
        <f>H9*'Setup &amp; Assumptions'!$L$29</f>
        <v>0</v>
      </c>
      <c r="J9" s="21"/>
      <c r="K9" s="17">
        <f t="shared" si="1"/>
        <v>0</v>
      </c>
      <c r="L9" s="15">
        <v>0</v>
      </c>
      <c r="M9" s="16">
        <f>L9*'Setup &amp; Assumptions'!$L$30</f>
        <v>0</v>
      </c>
      <c r="N9" s="13"/>
      <c r="O9" s="17">
        <f t="shared" si="2"/>
        <v>0</v>
      </c>
      <c r="P9" s="15">
        <v>0</v>
      </c>
      <c r="Q9" s="16">
        <f>P9*'Setup &amp; Assumptions'!$L$31</f>
        <v>0</v>
      </c>
      <c r="R9" s="13"/>
      <c r="S9" s="17">
        <f t="shared" si="3"/>
        <v>0</v>
      </c>
      <c r="T9" s="22">
        <v>1</v>
      </c>
      <c r="U9" s="23">
        <f>'Setup &amp; Assumptions'!$L$32</f>
        <v>1</v>
      </c>
      <c r="V9" s="6"/>
      <c r="W9" s="17">
        <f t="shared" si="4"/>
        <v>0</v>
      </c>
      <c r="X9" s="15">
        <v>2</v>
      </c>
      <c r="Y9" s="16">
        <f>'Setup &amp; Assumptions'!$L$33*3</f>
        <v>9</v>
      </c>
      <c r="Z9" s="13"/>
      <c r="AA9" s="17">
        <f t="shared" si="5"/>
        <v>0</v>
      </c>
      <c r="AB9" s="17">
        <f t="shared" si="6"/>
        <v>0</v>
      </c>
      <c r="AC9" s="17">
        <f t="shared" si="7"/>
        <v>0</v>
      </c>
      <c r="AD9" s="17">
        <f t="shared" si="8"/>
        <v>0</v>
      </c>
      <c r="AE9" s="10">
        <f t="shared" si="9"/>
        <v>0</v>
      </c>
      <c r="AF9" s="18">
        <f>IFERROR(LOOKUP(AE9,'Setup &amp; Assumptions'!$G$19:$G$23,'Setup &amp; Assumptions'!$H$19:$H$23),0)</f>
        <v>0</v>
      </c>
    </row>
    <row r="10" spans="2:32" x14ac:dyDescent="0.2">
      <c r="B10" s="2" t="s">
        <v>30</v>
      </c>
      <c r="C10" s="3" t="s">
        <v>31</v>
      </c>
      <c r="D10" s="15">
        <v>2701</v>
      </c>
      <c r="E10" s="16">
        <f>D10*'Setup &amp; Assumptions'!$L$28</f>
        <v>3241.2</v>
      </c>
      <c r="F10" s="13">
        <v>855</v>
      </c>
      <c r="G10" s="17">
        <f t="shared" si="0"/>
        <v>0.26379118844872274</v>
      </c>
      <c r="H10" s="19">
        <v>38</v>
      </c>
      <c r="I10" s="20">
        <f>H10*'Setup &amp; Assumptions'!$L$29</f>
        <v>34.200000000000003</v>
      </c>
      <c r="J10" s="21">
        <v>40</v>
      </c>
      <c r="K10" s="17">
        <f t="shared" si="1"/>
        <v>0.85500000000000009</v>
      </c>
      <c r="L10" s="15">
        <v>2051850</v>
      </c>
      <c r="M10" s="16">
        <f>L10*'Setup &amp; Assumptions'!$L$30</f>
        <v>2359627.5</v>
      </c>
      <c r="N10" s="13">
        <v>1072220</v>
      </c>
      <c r="O10" s="17">
        <f t="shared" si="2"/>
        <v>0.45440223086059134</v>
      </c>
      <c r="P10" s="15">
        <v>7007695</v>
      </c>
      <c r="Q10" s="16">
        <f>P10*'Setup &amp; Assumptions'!$L$31</f>
        <v>8058849.2499999991</v>
      </c>
      <c r="R10" s="13">
        <v>4642764</v>
      </c>
      <c r="S10" s="17">
        <f t="shared" si="3"/>
        <v>0.57610756275159269</v>
      </c>
      <c r="T10" s="22">
        <v>1</v>
      </c>
      <c r="U10" s="23">
        <f>'Setup &amp; Assumptions'!$L$32</f>
        <v>1</v>
      </c>
      <c r="V10" s="6"/>
      <c r="W10" s="17">
        <f t="shared" si="4"/>
        <v>0</v>
      </c>
      <c r="X10" s="15">
        <v>2</v>
      </c>
      <c r="Y10" s="16">
        <f>'Setup &amp; Assumptions'!$L$33*3</f>
        <v>9</v>
      </c>
      <c r="Z10" s="13"/>
      <c r="AA10" s="17">
        <f t="shared" si="5"/>
        <v>0</v>
      </c>
      <c r="AB10" s="17">
        <f t="shared" si="6"/>
        <v>0.55939559422436136</v>
      </c>
      <c r="AC10" s="17">
        <f t="shared" si="7"/>
        <v>0.51525489680609204</v>
      </c>
      <c r="AD10" s="17">
        <f t="shared" si="8"/>
        <v>0</v>
      </c>
      <c r="AE10" s="10">
        <f t="shared" si="9"/>
        <v>0.46445108073613983</v>
      </c>
      <c r="AF10" s="18">
        <f>IFERROR(LOOKUP(AE10,'Setup &amp; Assumptions'!$G$19:$G$23,'Setup &amp; Assumptions'!$H$19:$H$23),0)</f>
        <v>0</v>
      </c>
    </row>
    <row r="11" spans="2:32" x14ac:dyDescent="0.2">
      <c r="B11" s="2" t="s">
        <v>35</v>
      </c>
      <c r="C11" s="3" t="s">
        <v>23</v>
      </c>
      <c r="D11" s="15">
        <v>2516</v>
      </c>
      <c r="E11" s="16">
        <f>D11*'Setup &amp; Assumptions'!$L$28</f>
        <v>3019.2</v>
      </c>
      <c r="F11" s="13">
        <v>998</v>
      </c>
      <c r="G11" s="17">
        <f t="shared" si="0"/>
        <v>0.33055113937466879</v>
      </c>
      <c r="H11" s="19">
        <v>38</v>
      </c>
      <c r="I11" s="20">
        <f>H11*'Setup &amp; Assumptions'!$L$29</f>
        <v>34.200000000000003</v>
      </c>
      <c r="J11" s="21">
        <v>33</v>
      </c>
      <c r="K11" s="17">
        <f t="shared" si="1"/>
        <v>1.0363636363636364</v>
      </c>
      <c r="L11" s="15">
        <v>3464539</v>
      </c>
      <c r="M11" s="16">
        <f>L11*'Setup &amp; Assumptions'!$L$30</f>
        <v>3984219.8499999996</v>
      </c>
      <c r="N11" s="13">
        <v>1268409</v>
      </c>
      <c r="O11" s="17">
        <f t="shared" si="2"/>
        <v>0.31835818497817087</v>
      </c>
      <c r="P11" s="15">
        <v>9374989</v>
      </c>
      <c r="Q11" s="16">
        <f>P11*'Setup &amp; Assumptions'!$L$31</f>
        <v>10781237.35</v>
      </c>
      <c r="R11" s="13">
        <v>5247351</v>
      </c>
      <c r="S11" s="17">
        <f t="shared" si="3"/>
        <v>0.48671138846600015</v>
      </c>
      <c r="T11" s="22">
        <v>1</v>
      </c>
      <c r="U11" s="23">
        <f>'Setup &amp; Assumptions'!$L$32</f>
        <v>1</v>
      </c>
      <c r="V11" s="6"/>
      <c r="W11" s="17">
        <f t="shared" si="4"/>
        <v>0</v>
      </c>
      <c r="X11" s="15">
        <v>2</v>
      </c>
      <c r="Y11" s="16">
        <f>'Setup &amp; Assumptions'!$L$33*3</f>
        <v>9</v>
      </c>
      <c r="Z11" s="13"/>
      <c r="AA11" s="17">
        <f t="shared" si="5"/>
        <v>0</v>
      </c>
      <c r="AB11" s="17">
        <f t="shared" si="6"/>
        <v>0.68345738786915256</v>
      </c>
      <c r="AC11" s="17">
        <f t="shared" si="7"/>
        <v>0.40253478672208554</v>
      </c>
      <c r="AD11" s="17">
        <f t="shared" si="8"/>
        <v>0</v>
      </c>
      <c r="AE11" s="10">
        <f t="shared" si="9"/>
        <v>0.51070812940201293</v>
      </c>
      <c r="AF11" s="18">
        <f>IFERROR(LOOKUP(AE11,'Setup &amp; Assumptions'!$G$19:$G$23,'Setup &amp; Assumptions'!$H$19:$H$23),0)</f>
        <v>0</v>
      </c>
    </row>
    <row r="12" spans="2:32" x14ac:dyDescent="0.2">
      <c r="B12" s="2" t="s">
        <v>39</v>
      </c>
      <c r="C12" s="3" t="s">
        <v>18</v>
      </c>
      <c r="D12" s="15">
        <v>4506</v>
      </c>
      <c r="E12" s="16">
        <f>D12*'Setup &amp; Assumptions'!$L$28</f>
        <v>5407.2</v>
      </c>
      <c r="F12" s="13">
        <v>1750</v>
      </c>
      <c r="G12" s="17">
        <f t="shared" si="0"/>
        <v>0.32364255067317654</v>
      </c>
      <c r="H12" s="19">
        <v>24</v>
      </c>
      <c r="I12" s="20">
        <f>H12*'Setup &amp; Assumptions'!$L$29</f>
        <v>21.6</v>
      </c>
      <c r="J12" s="21">
        <v>19</v>
      </c>
      <c r="K12" s="17">
        <f t="shared" si="1"/>
        <v>1.1368421052631579</v>
      </c>
      <c r="L12" s="15">
        <v>3937873</v>
      </c>
      <c r="M12" s="16">
        <f>L12*'Setup &amp; Assumptions'!$L$30</f>
        <v>4528553.9499999993</v>
      </c>
      <c r="N12" s="13">
        <v>3171562</v>
      </c>
      <c r="O12" s="17">
        <f t="shared" si="2"/>
        <v>0.70034762421236041</v>
      </c>
      <c r="P12" s="15">
        <v>11195755</v>
      </c>
      <c r="Q12" s="16">
        <f>P12*'Setup &amp; Assumptions'!$L$31</f>
        <v>12875118.249999998</v>
      </c>
      <c r="R12" s="13">
        <v>8721783</v>
      </c>
      <c r="S12" s="17">
        <f t="shared" si="3"/>
        <v>0.67741381715076687</v>
      </c>
      <c r="T12" s="22">
        <v>1</v>
      </c>
      <c r="U12" s="23">
        <f>'Setup &amp; Assumptions'!$L$32</f>
        <v>1</v>
      </c>
      <c r="V12" s="6"/>
      <c r="W12" s="17">
        <f t="shared" si="4"/>
        <v>0</v>
      </c>
      <c r="X12" s="15">
        <v>2</v>
      </c>
      <c r="Y12" s="16">
        <f>'Setup &amp; Assumptions'!$L$33*3</f>
        <v>9</v>
      </c>
      <c r="Z12" s="13"/>
      <c r="AA12" s="17">
        <f t="shared" si="5"/>
        <v>0</v>
      </c>
      <c r="AB12" s="17">
        <f t="shared" si="6"/>
        <v>0.73024232796816724</v>
      </c>
      <c r="AC12" s="17">
        <f t="shared" si="7"/>
        <v>0.6888807206815637</v>
      </c>
      <c r="AD12" s="17">
        <f t="shared" si="8"/>
        <v>0</v>
      </c>
      <c r="AE12" s="10">
        <f t="shared" si="9"/>
        <v>0.61036557695129123</v>
      </c>
      <c r="AF12" s="18">
        <f>IFERROR(LOOKUP(AE12,'Setup &amp; Assumptions'!$G$19:$G$23,'Setup &amp; Assumptions'!$H$19:$H$23),0)</f>
        <v>0</v>
      </c>
    </row>
    <row r="13" spans="2:32" x14ac:dyDescent="0.2">
      <c r="B13" s="2" t="s">
        <v>43</v>
      </c>
      <c r="C13" s="3" t="s">
        <v>23</v>
      </c>
      <c r="D13" s="15">
        <v>4955</v>
      </c>
      <c r="E13" s="16">
        <f>D13*'Setup &amp; Assumptions'!$L$28</f>
        <v>5946</v>
      </c>
      <c r="F13" s="13">
        <v>1359</v>
      </c>
      <c r="G13" s="17">
        <f t="shared" si="0"/>
        <v>0.22855701311806256</v>
      </c>
      <c r="H13" s="19">
        <v>21</v>
      </c>
      <c r="I13" s="20">
        <f>H13*'Setup &amp; Assumptions'!$L$29</f>
        <v>18.900000000000002</v>
      </c>
      <c r="J13" s="21">
        <v>26</v>
      </c>
      <c r="K13" s="17">
        <f t="shared" si="1"/>
        <v>0.72692307692307701</v>
      </c>
      <c r="L13" s="15">
        <v>3796340</v>
      </c>
      <c r="M13" s="16">
        <f>L13*'Setup &amp; Assumptions'!$L$30</f>
        <v>4365791</v>
      </c>
      <c r="N13" s="13">
        <v>1199874</v>
      </c>
      <c r="O13" s="17">
        <f t="shared" si="2"/>
        <v>0.27483541928598965</v>
      </c>
      <c r="P13" s="15">
        <v>17591795</v>
      </c>
      <c r="Q13" s="16">
        <f>P13*'Setup &amp; Assumptions'!$L$31</f>
        <v>20230564.25</v>
      </c>
      <c r="R13" s="13">
        <v>3451716</v>
      </c>
      <c r="S13" s="17">
        <f t="shared" si="3"/>
        <v>0.17061886941685278</v>
      </c>
      <c r="T13" s="22">
        <v>1</v>
      </c>
      <c r="U13" s="23">
        <f>'Setup &amp; Assumptions'!$L$32</f>
        <v>1</v>
      </c>
      <c r="V13" s="6"/>
      <c r="W13" s="17">
        <f t="shared" si="4"/>
        <v>0</v>
      </c>
      <c r="X13" s="15">
        <v>2</v>
      </c>
      <c r="Y13" s="16">
        <f>'Setup &amp; Assumptions'!$L$33*3</f>
        <v>9</v>
      </c>
      <c r="Z13" s="13"/>
      <c r="AA13" s="17">
        <f t="shared" si="5"/>
        <v>0</v>
      </c>
      <c r="AB13" s="17">
        <f t="shared" si="6"/>
        <v>0.47774004502056977</v>
      </c>
      <c r="AC13" s="17">
        <f t="shared" si="7"/>
        <v>0.22272714435142121</v>
      </c>
      <c r="AD13" s="17">
        <f t="shared" si="8"/>
        <v>0</v>
      </c>
      <c r="AE13" s="10">
        <f t="shared" si="9"/>
        <v>0.34232581310019716</v>
      </c>
      <c r="AF13" s="18">
        <f>IFERROR(LOOKUP(AE13,'Setup &amp; Assumptions'!$G$19:$G$23,'Setup &amp; Assumptions'!$H$19:$H$23),0)</f>
        <v>0</v>
      </c>
    </row>
    <row r="14" spans="2:32" x14ac:dyDescent="0.2">
      <c r="B14" s="2" t="s">
        <v>47</v>
      </c>
      <c r="C14" s="3" t="s">
        <v>18</v>
      </c>
      <c r="D14" s="15">
        <v>1426</v>
      </c>
      <c r="E14" s="16">
        <f>D14*'Setup &amp; Assumptions'!$L$28</f>
        <v>1711.2</v>
      </c>
      <c r="F14" s="13">
        <v>470</v>
      </c>
      <c r="G14" s="17">
        <f t="shared" si="0"/>
        <v>0.27466105656848994</v>
      </c>
      <c r="H14" s="19">
        <v>32</v>
      </c>
      <c r="I14" s="20">
        <f>H14*'Setup &amp; Assumptions'!$L$29</f>
        <v>28.8</v>
      </c>
      <c r="J14" s="21">
        <v>28</v>
      </c>
      <c r="K14" s="17">
        <f t="shared" si="1"/>
        <v>1.0285714285714287</v>
      </c>
      <c r="L14" s="15">
        <v>3005543</v>
      </c>
      <c r="M14" s="16">
        <f>L14*'Setup &amp; Assumptions'!$L$30</f>
        <v>3456374.4499999997</v>
      </c>
      <c r="N14" s="13">
        <v>1643862</v>
      </c>
      <c r="O14" s="17">
        <f t="shared" si="2"/>
        <v>0.47560298335152895</v>
      </c>
      <c r="P14" s="15">
        <v>7484965</v>
      </c>
      <c r="Q14" s="16">
        <f>P14*'Setup &amp; Assumptions'!$L$31</f>
        <v>8607709.75</v>
      </c>
      <c r="R14" s="13">
        <v>5046989</v>
      </c>
      <c r="S14" s="17">
        <f t="shared" si="3"/>
        <v>0.58633354824725592</v>
      </c>
      <c r="T14" s="22">
        <v>1</v>
      </c>
      <c r="U14" s="23">
        <f>'Setup &amp; Assumptions'!$L$32</f>
        <v>1</v>
      </c>
      <c r="V14" s="6"/>
      <c r="W14" s="17">
        <f t="shared" si="4"/>
        <v>0</v>
      </c>
      <c r="X14" s="15">
        <v>2</v>
      </c>
      <c r="Y14" s="16">
        <f>'Setup &amp; Assumptions'!$L$33*3</f>
        <v>9</v>
      </c>
      <c r="Z14" s="13"/>
      <c r="AA14" s="17">
        <f t="shared" si="5"/>
        <v>0</v>
      </c>
      <c r="AB14" s="17">
        <f t="shared" si="6"/>
        <v>0.65161624256995931</v>
      </c>
      <c r="AC14" s="17">
        <f t="shared" si="7"/>
        <v>0.53096826579939238</v>
      </c>
      <c r="AD14" s="17">
        <f t="shared" si="8"/>
        <v>0</v>
      </c>
      <c r="AE14" s="10">
        <f t="shared" si="9"/>
        <v>0.52371181199182359</v>
      </c>
      <c r="AF14" s="18">
        <f>IFERROR(LOOKUP(AE14,'Setup &amp; Assumptions'!$G$19:$G$23,'Setup &amp; Assumptions'!$H$19:$H$23),0)</f>
        <v>0</v>
      </c>
    </row>
    <row r="15" spans="2:32" x14ac:dyDescent="0.2">
      <c r="B15" s="2" t="s">
        <v>49</v>
      </c>
      <c r="C15" s="3" t="s">
        <v>23</v>
      </c>
      <c r="D15" s="15">
        <v>1642</v>
      </c>
      <c r="E15" s="16">
        <f>D15*'Setup &amp; Assumptions'!$L$28</f>
        <v>1970.3999999999999</v>
      </c>
      <c r="F15" s="13">
        <v>504</v>
      </c>
      <c r="G15" s="17">
        <f t="shared" si="0"/>
        <v>0.25578562728380028</v>
      </c>
      <c r="H15" s="19">
        <v>60</v>
      </c>
      <c r="I15" s="20">
        <f>H15*'Setup &amp; Assumptions'!$L$29</f>
        <v>54</v>
      </c>
      <c r="J15" s="21">
        <v>63</v>
      </c>
      <c r="K15" s="17">
        <f t="shared" si="1"/>
        <v>0.8571428571428571</v>
      </c>
      <c r="L15" s="15">
        <v>3363584</v>
      </c>
      <c r="M15" s="16">
        <f>L15*'Setup &amp; Assumptions'!$L$30</f>
        <v>3868121.5999999996</v>
      </c>
      <c r="N15" s="13">
        <v>1102104</v>
      </c>
      <c r="O15" s="17">
        <f t="shared" si="2"/>
        <v>0.28491968815044494</v>
      </c>
      <c r="P15" s="15">
        <v>11139747</v>
      </c>
      <c r="Q15" s="16">
        <f>P15*'Setup &amp; Assumptions'!$L$31</f>
        <v>12810709.049999999</v>
      </c>
      <c r="R15" s="13">
        <v>4312657</v>
      </c>
      <c r="S15" s="17">
        <f t="shared" si="3"/>
        <v>0.33664467619768479</v>
      </c>
      <c r="T15" s="22">
        <v>1</v>
      </c>
      <c r="U15" s="23">
        <f>'Setup &amp; Assumptions'!$L$32</f>
        <v>1</v>
      </c>
      <c r="V15" s="6"/>
      <c r="W15" s="17">
        <f t="shared" si="4"/>
        <v>0</v>
      </c>
      <c r="X15" s="15">
        <v>2</v>
      </c>
      <c r="Y15" s="16">
        <f>'Setup &amp; Assumptions'!$L$33*3</f>
        <v>9</v>
      </c>
      <c r="Z15" s="13"/>
      <c r="AA15" s="17">
        <f t="shared" si="5"/>
        <v>0</v>
      </c>
      <c r="AB15" s="17">
        <f t="shared" si="6"/>
        <v>0.55646424221332869</v>
      </c>
      <c r="AC15" s="17">
        <f t="shared" si="7"/>
        <v>0.31078218217406484</v>
      </c>
      <c r="AD15" s="17">
        <f t="shared" si="8"/>
        <v>0</v>
      </c>
      <c r="AE15" s="10">
        <f t="shared" si="9"/>
        <v>0.41157409087151342</v>
      </c>
      <c r="AF15" s="18">
        <f>IFERROR(LOOKUP(AE15,'Setup &amp; Assumptions'!$G$19:$G$23,'Setup &amp; Assumptions'!$H$19:$H$23),0)</f>
        <v>0</v>
      </c>
    </row>
    <row r="16" spans="2:32" x14ac:dyDescent="0.2">
      <c r="B16" s="2" t="s">
        <v>50</v>
      </c>
      <c r="C16" s="3" t="s">
        <v>31</v>
      </c>
      <c r="D16" s="15">
        <v>1928</v>
      </c>
      <c r="E16" s="16">
        <f>D16*'Setup &amp; Assumptions'!$L$28</f>
        <v>2313.6</v>
      </c>
      <c r="F16" s="13">
        <v>917</v>
      </c>
      <c r="G16" s="17">
        <f t="shared" si="0"/>
        <v>0.39635200553250349</v>
      </c>
      <c r="H16" s="19">
        <v>48</v>
      </c>
      <c r="I16" s="20">
        <f>H16*'Setup &amp; Assumptions'!$L$29</f>
        <v>43.2</v>
      </c>
      <c r="J16" s="21">
        <v>38</v>
      </c>
      <c r="K16" s="17">
        <f t="shared" si="1"/>
        <v>1.1368421052631579</v>
      </c>
      <c r="L16" s="15">
        <v>3918532</v>
      </c>
      <c r="M16" s="16">
        <f>L16*'Setup &amp; Assumptions'!$L$30</f>
        <v>4506311.8</v>
      </c>
      <c r="N16" s="13">
        <v>2479260</v>
      </c>
      <c r="O16" s="17">
        <f t="shared" si="2"/>
        <v>0.55017497901498957</v>
      </c>
      <c r="P16" s="15">
        <v>11242334</v>
      </c>
      <c r="Q16" s="16">
        <f>P16*'Setup &amp; Assumptions'!$L$31</f>
        <v>12928684.1</v>
      </c>
      <c r="R16" s="13">
        <v>6857983</v>
      </c>
      <c r="S16" s="17">
        <f t="shared" si="3"/>
        <v>0.53044710095438097</v>
      </c>
      <c r="T16" s="22">
        <v>1</v>
      </c>
      <c r="U16" s="23">
        <f>'Setup &amp; Assumptions'!$L$32</f>
        <v>1</v>
      </c>
      <c r="V16" s="6"/>
      <c r="W16" s="17">
        <f t="shared" si="4"/>
        <v>0</v>
      </c>
      <c r="X16" s="15">
        <v>2</v>
      </c>
      <c r="Y16" s="16">
        <f>'Setup &amp; Assumptions'!$L$33*3</f>
        <v>9</v>
      </c>
      <c r="Z16" s="13"/>
      <c r="AA16" s="17">
        <f t="shared" si="5"/>
        <v>0</v>
      </c>
      <c r="AB16" s="17">
        <f t="shared" si="6"/>
        <v>0.76659705539783074</v>
      </c>
      <c r="AC16" s="17">
        <f t="shared" si="7"/>
        <v>0.54031103998468533</v>
      </c>
      <c r="AD16" s="17">
        <f t="shared" si="8"/>
        <v>0</v>
      </c>
      <c r="AE16" s="10">
        <f t="shared" si="9"/>
        <v>0.59503599323486978</v>
      </c>
      <c r="AF16" s="18">
        <f>IFERROR(LOOKUP(AE16,'Setup &amp; Assumptions'!$G$19:$G$23,'Setup &amp; Assumptions'!$H$19:$H$23),0)</f>
        <v>0</v>
      </c>
    </row>
  </sheetData>
  <mergeCells count="12">
    <mergeCell ref="B2:AF2"/>
    <mergeCell ref="B3:AF3"/>
    <mergeCell ref="D5:K5"/>
    <mergeCell ref="L5:S5"/>
    <mergeCell ref="T5:AA5"/>
    <mergeCell ref="AB5:AF5"/>
    <mergeCell ref="X6:AA6"/>
    <mergeCell ref="D6:G6"/>
    <mergeCell ref="H6:K6"/>
    <mergeCell ref="L6:O6"/>
    <mergeCell ref="P6:S6"/>
    <mergeCell ref="T6:W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12"/>
  <sheetViews>
    <sheetView showGridLines="0" zoomScaleNormal="100" workbookViewId="0">
      <pane xSplit="3" ySplit="7" topLeftCell="N8" activePane="bottomRight" state="frozen"/>
      <selection pane="topRight" activeCell="D1" sqref="D1"/>
      <selection pane="bottomLeft" activeCell="A8" sqref="A8"/>
      <selection pane="bottomRight" activeCell="D11" sqref="D11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3" width="16" customWidth="1"/>
    <col min="4" max="36" width="10" customWidth="1"/>
  </cols>
  <sheetData>
    <row r="2" spans="2:36" ht="18" x14ac:dyDescent="0.2">
      <c r="B2" s="51" t="s">
        <v>144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</row>
    <row r="3" spans="2:36" x14ac:dyDescent="0.2">
      <c r="B3" s="49" t="s">
        <v>145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</row>
    <row r="5" spans="2:36" ht="19.5" customHeight="1" x14ac:dyDescent="0.2">
      <c r="D5" s="52" t="s">
        <v>146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 t="s">
        <v>147</v>
      </c>
      <c r="Q5" s="52"/>
      <c r="R5" s="52"/>
      <c r="S5" s="52"/>
      <c r="T5" s="52"/>
      <c r="U5" s="52"/>
      <c r="V5" s="52"/>
      <c r="W5" s="52"/>
      <c r="X5" s="52" t="s">
        <v>148</v>
      </c>
      <c r="Y5" s="52"/>
      <c r="Z5" s="52"/>
      <c r="AA5" s="52"/>
      <c r="AB5" s="52"/>
      <c r="AC5" s="52"/>
      <c r="AD5" s="52"/>
      <c r="AE5" s="52"/>
      <c r="AF5" s="52" t="s">
        <v>112</v>
      </c>
      <c r="AG5" s="52"/>
      <c r="AH5" s="52"/>
      <c r="AI5" s="52"/>
      <c r="AJ5" s="52"/>
    </row>
    <row r="6" spans="2:36" ht="27.75" customHeight="1" x14ac:dyDescent="0.2">
      <c r="D6" s="50" t="s">
        <v>149</v>
      </c>
      <c r="E6" s="50"/>
      <c r="F6" s="50"/>
      <c r="G6" s="50"/>
      <c r="H6" s="50" t="s">
        <v>150</v>
      </c>
      <c r="I6" s="50"/>
      <c r="J6" s="50"/>
      <c r="K6" s="50"/>
      <c r="L6" s="50" t="s">
        <v>151</v>
      </c>
      <c r="M6" s="50"/>
      <c r="N6" s="50"/>
      <c r="O6" s="50"/>
      <c r="P6" s="50" t="s">
        <v>152</v>
      </c>
      <c r="Q6" s="50"/>
      <c r="R6" s="50"/>
      <c r="S6" s="50"/>
      <c r="T6" s="50" t="s">
        <v>153</v>
      </c>
      <c r="U6" s="50"/>
      <c r="V6" s="50"/>
      <c r="W6" s="50"/>
      <c r="X6" s="50" t="s">
        <v>154</v>
      </c>
      <c r="Y6" s="50"/>
      <c r="Z6" s="50"/>
      <c r="AA6" s="50"/>
      <c r="AB6" s="50" t="s">
        <v>155</v>
      </c>
      <c r="AC6" s="50"/>
      <c r="AD6" s="50"/>
      <c r="AE6" s="50"/>
    </row>
    <row r="7" spans="2:36" ht="21.75" customHeight="1" x14ac:dyDescent="0.2">
      <c r="B7" s="4" t="s">
        <v>156</v>
      </c>
      <c r="C7" s="4" t="s">
        <v>6</v>
      </c>
      <c r="D7" s="14" t="s">
        <v>116</v>
      </c>
      <c r="E7" s="4" t="s">
        <v>141</v>
      </c>
      <c r="F7" s="4" t="s">
        <v>142</v>
      </c>
      <c r="G7" s="4" t="s">
        <v>143</v>
      </c>
      <c r="H7" s="14" t="s">
        <v>116</v>
      </c>
      <c r="I7" s="4" t="s">
        <v>141</v>
      </c>
      <c r="J7" s="4" t="s">
        <v>142</v>
      </c>
      <c r="K7" s="4" t="s">
        <v>143</v>
      </c>
      <c r="L7" s="14" t="s">
        <v>116</v>
      </c>
      <c r="M7" s="4" t="s">
        <v>141</v>
      </c>
      <c r="N7" s="4" t="s">
        <v>142</v>
      </c>
      <c r="O7" s="4" t="s">
        <v>143</v>
      </c>
      <c r="P7" s="14" t="s">
        <v>116</v>
      </c>
      <c r="Q7" s="4" t="s">
        <v>141</v>
      </c>
      <c r="R7" s="4" t="s">
        <v>142</v>
      </c>
      <c r="S7" s="4" t="s">
        <v>143</v>
      </c>
      <c r="T7" s="14" t="s">
        <v>116</v>
      </c>
      <c r="U7" s="4" t="s">
        <v>141</v>
      </c>
      <c r="V7" s="4" t="s">
        <v>142</v>
      </c>
      <c r="W7" s="4" t="s">
        <v>143</v>
      </c>
      <c r="X7" s="14" t="s">
        <v>116</v>
      </c>
      <c r="Y7" s="4" t="s">
        <v>141</v>
      </c>
      <c r="Z7" s="4" t="s">
        <v>142</v>
      </c>
      <c r="AA7" s="4" t="s">
        <v>143</v>
      </c>
      <c r="AB7" s="14" t="s">
        <v>116</v>
      </c>
      <c r="AC7" s="4" t="s">
        <v>141</v>
      </c>
      <c r="AD7" s="4" t="s">
        <v>142</v>
      </c>
      <c r="AE7" s="4" t="s">
        <v>143</v>
      </c>
      <c r="AF7" s="4" t="s">
        <v>127</v>
      </c>
      <c r="AG7" s="4" t="s">
        <v>128</v>
      </c>
      <c r="AH7" s="4" t="s">
        <v>129</v>
      </c>
      <c r="AI7" s="4" t="s">
        <v>130</v>
      </c>
      <c r="AJ7" s="4" t="s">
        <v>53</v>
      </c>
    </row>
    <row r="8" spans="2:36" x14ac:dyDescent="0.2">
      <c r="B8" s="2" t="s">
        <v>94</v>
      </c>
      <c r="C8" s="8" t="s">
        <v>28</v>
      </c>
      <c r="D8" s="24">
        <v>0.03</v>
      </c>
      <c r="E8" s="25">
        <f>D8*1.1</f>
        <v>3.3000000000000002E-2</v>
      </c>
      <c r="F8" s="12"/>
      <c r="G8" s="17">
        <f>IFERROR(F8/E8,0)</f>
        <v>0</v>
      </c>
      <c r="H8" s="22">
        <v>0.2</v>
      </c>
      <c r="I8" s="17">
        <f>0.25</f>
        <v>0.25</v>
      </c>
      <c r="J8" s="6"/>
      <c r="K8" s="17">
        <f>IFERROR(J8/I8,0)</f>
        <v>0</v>
      </c>
      <c r="L8" s="22">
        <v>0.85</v>
      </c>
      <c r="M8" s="17">
        <f>0.95</f>
        <v>0.95</v>
      </c>
      <c r="N8" s="6"/>
      <c r="O8" s="17">
        <f>IFERROR(N8/M8,0)</f>
        <v>0</v>
      </c>
      <c r="P8" s="22">
        <v>0.85</v>
      </c>
      <c r="Q8" s="17">
        <f>0.95</f>
        <v>0.95</v>
      </c>
      <c r="R8" s="6"/>
      <c r="S8" s="17">
        <f>IFERROR(R8/Q8,0)</f>
        <v>0</v>
      </c>
      <c r="T8" s="26">
        <v>3</v>
      </c>
      <c r="U8" s="27">
        <f>2</f>
        <v>2</v>
      </c>
      <c r="V8" s="28"/>
      <c r="W8" s="17">
        <f>IFERROR(U8/V8,0)</f>
        <v>0</v>
      </c>
      <c r="X8" s="26">
        <v>4</v>
      </c>
      <c r="Y8" s="27">
        <f>3</f>
        <v>3</v>
      </c>
      <c r="Z8" s="28"/>
      <c r="AA8" s="17">
        <f>IFERROR(Y8/Z8,0)</f>
        <v>0</v>
      </c>
      <c r="AB8" s="26">
        <v>7.5</v>
      </c>
      <c r="AC8" s="27">
        <f>8</f>
        <v>8</v>
      </c>
      <c r="AD8" s="28"/>
      <c r="AE8" s="17">
        <f>IFERROR(AD8/AC8,0)</f>
        <v>0</v>
      </c>
      <c r="AF8" s="17">
        <f>AVERAGE(G8,K8,O8)</f>
        <v>0</v>
      </c>
      <c r="AG8" s="17">
        <f>AVERAGE(S8,W8)</f>
        <v>0</v>
      </c>
      <c r="AH8" s="17">
        <f>AVERAGE(AA8,AE8)</f>
        <v>0</v>
      </c>
      <c r="AI8" s="10">
        <f>AF8*0.6+AG8*0.25+AH8*0.15</f>
        <v>0</v>
      </c>
      <c r="AJ8" s="18">
        <f>IFERROR(LOOKUP(AI8,'Setup &amp; Assumptions'!$G$19:$G$23,'Setup &amp; Assumptions'!$H$19:$H$23),0)</f>
        <v>0</v>
      </c>
    </row>
    <row r="9" spans="2:36" x14ac:dyDescent="0.2">
      <c r="B9" s="2" t="s">
        <v>89</v>
      </c>
      <c r="C9" s="8" t="s">
        <v>41</v>
      </c>
      <c r="D9" s="24">
        <v>0.03</v>
      </c>
      <c r="E9" s="25">
        <f>D9*1.1</f>
        <v>3.3000000000000002E-2</v>
      </c>
      <c r="F9" s="12"/>
      <c r="G9" s="17">
        <f>IFERROR(F9/E9,0)</f>
        <v>0</v>
      </c>
      <c r="H9" s="22">
        <v>0.2</v>
      </c>
      <c r="I9" s="17">
        <f>0.25</f>
        <v>0.25</v>
      </c>
      <c r="J9" s="6"/>
      <c r="K9" s="17">
        <f>IFERROR(J9/I9,0)</f>
        <v>0</v>
      </c>
      <c r="L9" s="22">
        <v>0.85</v>
      </c>
      <c r="M9" s="17">
        <f>0.95</f>
        <v>0.95</v>
      </c>
      <c r="N9" s="6"/>
      <c r="O9" s="17">
        <f>IFERROR(N9/M9,0)</f>
        <v>0</v>
      </c>
      <c r="P9" s="22">
        <v>0.85</v>
      </c>
      <c r="Q9" s="17">
        <f>0.95</f>
        <v>0.95</v>
      </c>
      <c r="R9" s="6"/>
      <c r="S9" s="17">
        <f>IFERROR(R9/Q9,0)</f>
        <v>0</v>
      </c>
      <c r="T9" s="26">
        <v>3</v>
      </c>
      <c r="U9" s="27">
        <f>2</f>
        <v>2</v>
      </c>
      <c r="V9" s="28"/>
      <c r="W9" s="17">
        <f>IFERROR(U9/V9,0)</f>
        <v>0</v>
      </c>
      <c r="X9" s="26">
        <v>4</v>
      </c>
      <c r="Y9" s="27">
        <f>3</f>
        <v>3</v>
      </c>
      <c r="Z9" s="28"/>
      <c r="AA9" s="17">
        <f>IFERROR(Y9/Z9,0)</f>
        <v>0</v>
      </c>
      <c r="AB9" s="26">
        <v>7.5</v>
      </c>
      <c r="AC9" s="27">
        <f>8</f>
        <v>8</v>
      </c>
      <c r="AD9" s="28"/>
      <c r="AE9" s="17">
        <f>IFERROR(AD9/AC9,0)</f>
        <v>0</v>
      </c>
      <c r="AF9" s="17">
        <f>AVERAGE(G9,K9,O9)</f>
        <v>0</v>
      </c>
      <c r="AG9" s="17">
        <f>AVERAGE(S9,W9)</f>
        <v>0</v>
      </c>
      <c r="AH9" s="17">
        <f>AVERAGE(AA9,AE9)</f>
        <v>0</v>
      </c>
      <c r="AI9" s="10">
        <f>AF9*0.6+AG9*0.25+AH9*0.15</f>
        <v>0</v>
      </c>
      <c r="AJ9" s="18">
        <f>IFERROR(LOOKUP(AI9,'Setup &amp; Assumptions'!$G$19:$G$23,'Setup &amp; Assumptions'!$H$19:$H$23),0)</f>
        <v>0</v>
      </c>
    </row>
    <row r="10" spans="2:36" x14ac:dyDescent="0.2">
      <c r="B10" s="2" t="s">
        <v>19</v>
      </c>
      <c r="C10" s="8" t="s">
        <v>15</v>
      </c>
      <c r="D10" s="24">
        <v>0.03</v>
      </c>
      <c r="E10" s="25">
        <f>D10*1.1</f>
        <v>3.3000000000000002E-2</v>
      </c>
      <c r="F10" s="12"/>
      <c r="G10" s="17">
        <f>IFERROR(F10/E10,0)</f>
        <v>0</v>
      </c>
      <c r="H10" s="22">
        <v>0.2</v>
      </c>
      <c r="I10" s="17">
        <f>0.25</f>
        <v>0.25</v>
      </c>
      <c r="J10" s="6"/>
      <c r="K10" s="17">
        <f>IFERROR(J10/I10,0)</f>
        <v>0</v>
      </c>
      <c r="L10" s="22">
        <v>0.85</v>
      </c>
      <c r="M10" s="17">
        <f>0.95</f>
        <v>0.95</v>
      </c>
      <c r="N10" s="6"/>
      <c r="O10" s="17">
        <f>IFERROR(N10/M10,0)</f>
        <v>0</v>
      </c>
      <c r="P10" s="22">
        <v>0.85</v>
      </c>
      <c r="Q10" s="17">
        <f>0.95</f>
        <v>0.95</v>
      </c>
      <c r="R10" s="6"/>
      <c r="S10" s="17">
        <f>IFERROR(R10/Q10,0)</f>
        <v>0</v>
      </c>
      <c r="T10" s="26">
        <v>3</v>
      </c>
      <c r="U10" s="27">
        <f>2</f>
        <v>2</v>
      </c>
      <c r="V10" s="28"/>
      <c r="W10" s="17">
        <f>IFERROR(U10/V10,0)</f>
        <v>0</v>
      </c>
      <c r="X10" s="26">
        <v>4</v>
      </c>
      <c r="Y10" s="27">
        <f>3</f>
        <v>3</v>
      </c>
      <c r="Z10" s="28"/>
      <c r="AA10" s="17">
        <f>IFERROR(Y10/Z10,0)</f>
        <v>0</v>
      </c>
      <c r="AB10" s="26">
        <v>7.5</v>
      </c>
      <c r="AC10" s="27">
        <f>8</f>
        <v>8</v>
      </c>
      <c r="AD10" s="28"/>
      <c r="AE10" s="17">
        <f>IFERROR(AD10/AC10,0)</f>
        <v>0</v>
      </c>
      <c r="AF10" s="17">
        <f>AVERAGE(G10,K10,O10)</f>
        <v>0</v>
      </c>
      <c r="AG10" s="17">
        <f>AVERAGE(S10,W10)</f>
        <v>0</v>
      </c>
      <c r="AH10" s="17">
        <f>AVERAGE(AA10,AE10)</f>
        <v>0</v>
      </c>
      <c r="AI10" s="10">
        <f>AF10*0.6+AG10*0.25+AH10*0.15</f>
        <v>0</v>
      </c>
      <c r="AJ10" s="18">
        <f>IFERROR(LOOKUP(AI10,'Setup &amp; Assumptions'!$G$19:$G$23,'Setup &amp; Assumptions'!$H$19:$H$23),0)</f>
        <v>0</v>
      </c>
    </row>
    <row r="11" spans="2:36" x14ac:dyDescent="0.2">
      <c r="B11" s="2" t="s">
        <v>24</v>
      </c>
      <c r="C11" s="8" t="s">
        <v>15</v>
      </c>
      <c r="D11" s="24">
        <v>0.03</v>
      </c>
      <c r="E11" s="25">
        <f>D11*1.1</f>
        <v>3.3000000000000002E-2</v>
      </c>
      <c r="F11" s="12"/>
      <c r="G11" s="17">
        <f>IFERROR(F11/E11,0)</f>
        <v>0</v>
      </c>
      <c r="H11" s="22">
        <v>0.2</v>
      </c>
      <c r="I11" s="17">
        <f>0.25</f>
        <v>0.25</v>
      </c>
      <c r="J11" s="6"/>
      <c r="K11" s="17">
        <f>IFERROR(J11/I11,0)</f>
        <v>0</v>
      </c>
      <c r="L11" s="22">
        <v>0.85</v>
      </c>
      <c r="M11" s="17">
        <f>0.95</f>
        <v>0.95</v>
      </c>
      <c r="N11" s="6"/>
      <c r="O11" s="17">
        <f>IFERROR(N11/M11,0)</f>
        <v>0</v>
      </c>
      <c r="P11" s="22">
        <v>0.85</v>
      </c>
      <c r="Q11" s="17">
        <f>0.95</f>
        <v>0.95</v>
      </c>
      <c r="R11" s="6"/>
      <c r="S11" s="17">
        <f>IFERROR(R11/Q11,0)</f>
        <v>0</v>
      </c>
      <c r="T11" s="26">
        <v>3</v>
      </c>
      <c r="U11" s="27">
        <f>2</f>
        <v>2</v>
      </c>
      <c r="V11" s="28"/>
      <c r="W11" s="17">
        <f>IFERROR(U11/V11,0)</f>
        <v>0</v>
      </c>
      <c r="X11" s="26">
        <v>4</v>
      </c>
      <c r="Y11" s="27">
        <f>3</f>
        <v>3</v>
      </c>
      <c r="Z11" s="28"/>
      <c r="AA11" s="17">
        <f>IFERROR(Y11/Z11,0)</f>
        <v>0</v>
      </c>
      <c r="AB11" s="26">
        <v>7.5</v>
      </c>
      <c r="AC11" s="27">
        <f>8</f>
        <v>8</v>
      </c>
      <c r="AD11" s="28"/>
      <c r="AE11" s="17">
        <f>IFERROR(AD11/AC11,0)</f>
        <v>0</v>
      </c>
      <c r="AF11" s="17">
        <f>AVERAGE(G11,K11,O11)</f>
        <v>0</v>
      </c>
      <c r="AG11" s="17">
        <f>AVERAGE(S11,W11)</f>
        <v>0</v>
      </c>
      <c r="AH11" s="17">
        <f>AVERAGE(AA11,AE11)</f>
        <v>0</v>
      </c>
      <c r="AI11" s="10">
        <f>AF11*0.6+AG11*0.25+AH11*0.15</f>
        <v>0</v>
      </c>
      <c r="AJ11" s="18">
        <f>IFERROR(LOOKUP(AI11,'Setup &amp; Assumptions'!$G$19:$G$23,'Setup &amp; Assumptions'!$H$19:$H$23),0)</f>
        <v>0</v>
      </c>
    </row>
    <row r="12" spans="2:36" x14ac:dyDescent="0.2">
      <c r="B12" s="2" t="s">
        <v>32</v>
      </c>
      <c r="C12" s="8" t="s">
        <v>15</v>
      </c>
      <c r="D12" s="24">
        <v>0.03</v>
      </c>
      <c r="E12" s="25">
        <f>D12*1.1</f>
        <v>3.3000000000000002E-2</v>
      </c>
      <c r="F12" s="12"/>
      <c r="G12" s="17">
        <f>IFERROR(F12/E12,0)</f>
        <v>0</v>
      </c>
      <c r="H12" s="22">
        <v>0.2</v>
      </c>
      <c r="I12" s="17">
        <f>0.25</f>
        <v>0.25</v>
      </c>
      <c r="J12" s="6"/>
      <c r="K12" s="17">
        <f>IFERROR(J12/I12,0)</f>
        <v>0</v>
      </c>
      <c r="L12" s="22">
        <v>0.85</v>
      </c>
      <c r="M12" s="17">
        <f>0.95</f>
        <v>0.95</v>
      </c>
      <c r="N12" s="6"/>
      <c r="O12" s="17">
        <f>IFERROR(N12/M12,0)</f>
        <v>0</v>
      </c>
      <c r="P12" s="22">
        <v>0.85</v>
      </c>
      <c r="Q12" s="17">
        <f>0.95</f>
        <v>0.95</v>
      </c>
      <c r="R12" s="6"/>
      <c r="S12" s="17">
        <f>IFERROR(R12/Q12,0)</f>
        <v>0</v>
      </c>
      <c r="T12" s="26">
        <v>3</v>
      </c>
      <c r="U12" s="27">
        <f>2</f>
        <v>2</v>
      </c>
      <c r="V12" s="28"/>
      <c r="W12" s="17">
        <f>IFERROR(U12/V12,0)</f>
        <v>0</v>
      </c>
      <c r="X12" s="26">
        <v>4</v>
      </c>
      <c r="Y12" s="27">
        <f>3</f>
        <v>3</v>
      </c>
      <c r="Z12" s="28"/>
      <c r="AA12" s="17">
        <f>IFERROR(Y12/Z12,0)</f>
        <v>0</v>
      </c>
      <c r="AB12" s="26">
        <v>7.5</v>
      </c>
      <c r="AC12" s="27">
        <f>8</f>
        <v>8</v>
      </c>
      <c r="AD12" s="28"/>
      <c r="AE12" s="17">
        <f>IFERROR(AD12/AC12,0)</f>
        <v>0</v>
      </c>
      <c r="AF12" s="17">
        <f>AVERAGE(G12,K12,O12)</f>
        <v>0</v>
      </c>
      <c r="AG12" s="17">
        <f>AVERAGE(S12,W12)</f>
        <v>0</v>
      </c>
      <c r="AH12" s="17">
        <f>AVERAGE(AA12,AE12)</f>
        <v>0</v>
      </c>
      <c r="AI12" s="10">
        <f>AF12*0.6+AG12*0.25+AH12*0.15</f>
        <v>0</v>
      </c>
      <c r="AJ12" s="18">
        <f>IFERROR(LOOKUP(AI12,'Setup &amp; Assumptions'!$G$19:$G$23,'Setup &amp; Assumptions'!$H$19:$H$23),0)</f>
        <v>0</v>
      </c>
    </row>
  </sheetData>
  <mergeCells count="13">
    <mergeCell ref="B2:AJ2"/>
    <mergeCell ref="B3:AJ3"/>
    <mergeCell ref="D5:O5"/>
    <mergeCell ref="P5:W5"/>
    <mergeCell ref="X5:AE5"/>
    <mergeCell ref="AF5:AJ5"/>
    <mergeCell ref="X6:AA6"/>
    <mergeCell ref="AB6:AE6"/>
    <mergeCell ref="D6:G6"/>
    <mergeCell ref="H6:K6"/>
    <mergeCell ref="L6:O6"/>
    <mergeCell ref="P6:S6"/>
    <mergeCell ref="T6:W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N8"/>
  <sheetViews>
    <sheetView showGridLines="0" zoomScaleNormal="100" workbookViewId="0">
      <pane xSplit="3" ySplit="7" topLeftCell="X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6640625" defaultRowHeight="15" x14ac:dyDescent="0.2"/>
  <cols>
    <col min="1" max="1" width="2" customWidth="1"/>
    <col min="2" max="2" width="12" customWidth="1"/>
    <col min="3" max="3" width="18" customWidth="1"/>
    <col min="4" max="40" width="11" customWidth="1"/>
  </cols>
  <sheetData>
    <row r="2" spans="2:40" ht="18" x14ac:dyDescent="0.2">
      <c r="B2" s="51" t="s">
        <v>157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</row>
    <row r="3" spans="2:40" x14ac:dyDescent="0.2">
      <c r="B3" s="49" t="s">
        <v>158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</row>
    <row r="5" spans="2:40" ht="19.5" customHeight="1" x14ac:dyDescent="0.2">
      <c r="D5" s="52" t="s">
        <v>136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 t="s">
        <v>147</v>
      </c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 t="s">
        <v>148</v>
      </c>
      <c r="AC5" s="52"/>
      <c r="AD5" s="52"/>
      <c r="AE5" s="52"/>
      <c r="AF5" s="52"/>
      <c r="AG5" s="52"/>
      <c r="AH5" s="52"/>
      <c r="AI5" s="52"/>
      <c r="AJ5" s="52" t="s">
        <v>112</v>
      </c>
      <c r="AK5" s="52"/>
      <c r="AL5" s="52"/>
      <c r="AM5" s="52"/>
      <c r="AN5" s="52"/>
    </row>
    <row r="6" spans="2:40" ht="27.75" customHeight="1" x14ac:dyDescent="0.2">
      <c r="D6" s="50" t="s">
        <v>159</v>
      </c>
      <c r="E6" s="50"/>
      <c r="F6" s="50"/>
      <c r="G6" s="50"/>
      <c r="H6" s="50" t="s">
        <v>160</v>
      </c>
      <c r="I6" s="50"/>
      <c r="J6" s="50"/>
      <c r="K6" s="50"/>
      <c r="L6" s="50" t="s">
        <v>161</v>
      </c>
      <c r="M6" s="50"/>
      <c r="N6" s="50"/>
      <c r="O6" s="50"/>
      <c r="P6" s="50" t="s">
        <v>162</v>
      </c>
      <c r="Q6" s="50"/>
      <c r="R6" s="50"/>
      <c r="S6" s="50"/>
      <c r="T6" s="50" t="s">
        <v>163</v>
      </c>
      <c r="U6" s="50"/>
      <c r="V6" s="50"/>
      <c r="W6" s="50"/>
      <c r="X6" s="50" t="s">
        <v>164</v>
      </c>
      <c r="Y6" s="50"/>
      <c r="Z6" s="50"/>
      <c r="AA6" s="50"/>
      <c r="AB6" s="50" t="s">
        <v>165</v>
      </c>
      <c r="AC6" s="50"/>
      <c r="AD6" s="50"/>
      <c r="AE6" s="50"/>
      <c r="AF6" s="50" t="s">
        <v>166</v>
      </c>
      <c r="AG6" s="50"/>
      <c r="AH6" s="50"/>
      <c r="AI6" s="50"/>
    </row>
    <row r="7" spans="2:40" ht="21.75" customHeight="1" x14ac:dyDescent="0.2">
      <c r="B7" s="4" t="s">
        <v>156</v>
      </c>
      <c r="C7" s="4" t="s">
        <v>6</v>
      </c>
      <c r="D7" s="14" t="s">
        <v>116</v>
      </c>
      <c r="E7" s="4" t="s">
        <v>141</v>
      </c>
      <c r="F7" s="4" t="s">
        <v>142</v>
      </c>
      <c r="G7" s="4" t="s">
        <v>143</v>
      </c>
      <c r="H7" s="14" t="s">
        <v>116</v>
      </c>
      <c r="I7" s="4" t="s">
        <v>141</v>
      </c>
      <c r="J7" s="4" t="s">
        <v>142</v>
      </c>
      <c r="K7" s="4" t="s">
        <v>143</v>
      </c>
      <c r="L7" s="14" t="s">
        <v>116</v>
      </c>
      <c r="M7" s="4" t="s">
        <v>141</v>
      </c>
      <c r="N7" s="4" t="s">
        <v>142</v>
      </c>
      <c r="O7" s="4" t="s">
        <v>143</v>
      </c>
      <c r="P7" s="14" t="s">
        <v>116</v>
      </c>
      <c r="Q7" s="4" t="s">
        <v>141</v>
      </c>
      <c r="R7" s="4" t="s">
        <v>142</v>
      </c>
      <c r="S7" s="4" t="s">
        <v>143</v>
      </c>
      <c r="T7" s="14" t="s">
        <v>116</v>
      </c>
      <c r="U7" s="4" t="s">
        <v>141</v>
      </c>
      <c r="V7" s="4" t="s">
        <v>142</v>
      </c>
      <c r="W7" s="4" t="s">
        <v>143</v>
      </c>
      <c r="X7" s="14" t="s">
        <v>116</v>
      </c>
      <c r="Y7" s="4" t="s">
        <v>141</v>
      </c>
      <c r="Z7" s="4" t="s">
        <v>142</v>
      </c>
      <c r="AA7" s="4" t="s">
        <v>143</v>
      </c>
      <c r="AB7" s="14" t="s">
        <v>116</v>
      </c>
      <c r="AC7" s="4" t="s">
        <v>141</v>
      </c>
      <c r="AD7" s="4" t="s">
        <v>142</v>
      </c>
      <c r="AE7" s="4" t="s">
        <v>143</v>
      </c>
      <c r="AF7" s="14" t="s">
        <v>116</v>
      </c>
      <c r="AG7" s="4" t="s">
        <v>141</v>
      </c>
      <c r="AH7" s="4" t="s">
        <v>142</v>
      </c>
      <c r="AI7" s="4" t="s">
        <v>143</v>
      </c>
      <c r="AJ7" s="4" t="s">
        <v>127</v>
      </c>
      <c r="AK7" s="4" t="s">
        <v>128</v>
      </c>
      <c r="AL7" s="4" t="s">
        <v>129</v>
      </c>
      <c r="AM7" s="4" t="s">
        <v>130</v>
      </c>
      <c r="AN7" s="4" t="s">
        <v>53</v>
      </c>
    </row>
    <row r="8" spans="2:40" x14ac:dyDescent="0.2">
      <c r="B8" s="2" t="s">
        <v>98</v>
      </c>
      <c r="C8" s="8" t="s">
        <v>37</v>
      </c>
      <c r="D8" s="15">
        <v>3</v>
      </c>
      <c r="E8" s="29">
        <f>5</f>
        <v>5</v>
      </c>
      <c r="F8" s="13"/>
      <c r="G8" s="17">
        <f>IFERROR(F8/E8,0)</f>
        <v>0</v>
      </c>
      <c r="H8" s="19">
        <v>40000</v>
      </c>
      <c r="I8" s="30">
        <f>H8*1.25</f>
        <v>50000</v>
      </c>
      <c r="J8" s="21"/>
      <c r="K8" s="17">
        <f>IFERROR(J8/I8,0)</f>
        <v>0</v>
      </c>
      <c r="L8" s="15">
        <v>4</v>
      </c>
      <c r="M8" s="29">
        <f>8</f>
        <v>8</v>
      </c>
      <c r="N8" s="13"/>
      <c r="O8" s="17">
        <f>IFERROR(N8/M8,0)</f>
        <v>0</v>
      </c>
      <c r="P8" s="15">
        <v>10</v>
      </c>
      <c r="Q8" s="29">
        <f>12</f>
        <v>12</v>
      </c>
      <c r="R8" s="13"/>
      <c r="S8" s="17">
        <f>IFERROR(R8/Q8,0)</f>
        <v>0</v>
      </c>
      <c r="T8" s="15">
        <v>150</v>
      </c>
      <c r="U8" s="29">
        <f>T8*1.3</f>
        <v>195</v>
      </c>
      <c r="V8" s="13"/>
      <c r="W8" s="17">
        <f>IFERROR(V8/U8,0)</f>
        <v>0</v>
      </c>
      <c r="X8" s="22">
        <v>0.85</v>
      </c>
      <c r="Y8" s="17">
        <f>0.9</f>
        <v>0.9</v>
      </c>
      <c r="Z8" s="6"/>
      <c r="AA8" s="17">
        <f>IFERROR(Z8/Y8,0)</f>
        <v>0</v>
      </c>
      <c r="AB8" s="22">
        <v>0.9</v>
      </c>
      <c r="AC8" s="17">
        <f>0.95</f>
        <v>0.95</v>
      </c>
      <c r="AD8" s="6"/>
      <c r="AE8" s="17">
        <f>IFERROR(AD8/AC8,0)</f>
        <v>0</v>
      </c>
      <c r="AF8" s="26">
        <v>7.5</v>
      </c>
      <c r="AG8" s="27">
        <f>8</f>
        <v>8</v>
      </c>
      <c r="AH8" s="28"/>
      <c r="AI8" s="17">
        <f>IFERROR(AH8/AG8,0)</f>
        <v>0</v>
      </c>
      <c r="AJ8" s="17">
        <f>AVERAGE(G8,K8,O8)</f>
        <v>0</v>
      </c>
      <c r="AK8" s="17">
        <f>AVERAGE(S8,W8,AA8)</f>
        <v>0</v>
      </c>
      <c r="AL8" s="17">
        <f>AVERAGE(AE8,AI8)</f>
        <v>0</v>
      </c>
      <c r="AM8" s="10">
        <f>AJ8*0.6+AK8*0.25+AL8*0.15</f>
        <v>0</v>
      </c>
      <c r="AN8" s="18">
        <f>IFERROR(LOOKUP(AM8,'Setup &amp; Assumptions'!$G$19:$G$23,'Setup &amp; Assumptions'!$H$19:$H$23),0)</f>
        <v>0</v>
      </c>
    </row>
  </sheetData>
  <mergeCells count="14">
    <mergeCell ref="B2:AN2"/>
    <mergeCell ref="B3:AN3"/>
    <mergeCell ref="D5:O5"/>
    <mergeCell ref="P5:AA5"/>
    <mergeCell ref="AB5:AI5"/>
    <mergeCell ref="AJ5:AN5"/>
    <mergeCell ref="X6:AA6"/>
    <mergeCell ref="AB6:AE6"/>
    <mergeCell ref="AF6:AI6"/>
    <mergeCell ref="D6:G6"/>
    <mergeCell ref="H6:K6"/>
    <mergeCell ref="L6:O6"/>
    <mergeCell ref="P6:S6"/>
    <mergeCell ref="T6:W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4" width="16" customWidth="1"/>
    <col min="5" max="6" width="12" customWidth="1"/>
    <col min="7" max="8" width="14" customWidth="1"/>
    <col min="9" max="17" width="13" customWidth="1"/>
    <col min="18" max="18" width="18" customWidth="1"/>
  </cols>
  <sheetData>
    <row r="2" spans="2:18" ht="18" x14ac:dyDescent="0.2">
      <c r="B2" s="51" t="s">
        <v>167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2:18" x14ac:dyDescent="0.2">
      <c r="B3" s="49" t="s">
        <v>168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5" spans="2:18" ht="19.5" customHeight="1" x14ac:dyDescent="0.2">
      <c r="B5" s="53" t="s">
        <v>169</v>
      </c>
      <c r="C5" s="53"/>
      <c r="D5" s="53"/>
      <c r="E5" s="53"/>
      <c r="F5" s="53"/>
      <c r="G5" s="53"/>
      <c r="H5" s="53"/>
      <c r="I5" s="47" t="s">
        <v>170</v>
      </c>
      <c r="J5" s="47"/>
      <c r="K5" s="47"/>
      <c r="L5" s="47"/>
      <c r="M5" s="47"/>
      <c r="N5" s="47"/>
      <c r="O5" s="47"/>
      <c r="P5" s="47"/>
      <c r="Q5" s="47"/>
      <c r="R5" s="47"/>
    </row>
    <row r="6" spans="2:18" ht="31.5" customHeight="1" x14ac:dyDescent="0.2">
      <c r="B6" s="4" t="s">
        <v>13</v>
      </c>
      <c r="C6" s="4" t="s">
        <v>171</v>
      </c>
      <c r="D6" s="4" t="s">
        <v>172</v>
      </c>
      <c r="E6" s="4" t="s">
        <v>173</v>
      </c>
      <c r="F6" s="4" t="s">
        <v>174</v>
      </c>
      <c r="G6" s="4" t="s">
        <v>175</v>
      </c>
      <c r="H6" s="4" t="s">
        <v>176</v>
      </c>
      <c r="I6" s="4" t="s">
        <v>177</v>
      </c>
      <c r="J6" s="4" t="s">
        <v>14</v>
      </c>
      <c r="K6" s="4" t="s">
        <v>178</v>
      </c>
      <c r="L6" s="4" t="s">
        <v>179</v>
      </c>
      <c r="M6" s="4" t="s">
        <v>15</v>
      </c>
      <c r="N6" s="4" t="s">
        <v>180</v>
      </c>
      <c r="O6" s="4" t="s">
        <v>41</v>
      </c>
      <c r="P6" s="4" t="s">
        <v>181</v>
      </c>
      <c r="Q6" s="4" t="s">
        <v>182</v>
      </c>
      <c r="R6" s="4" t="s">
        <v>8</v>
      </c>
    </row>
    <row r="7" spans="2:18" x14ac:dyDescent="0.2">
      <c r="B7" s="2" t="s">
        <v>17</v>
      </c>
      <c r="C7" s="21">
        <v>1800000</v>
      </c>
      <c r="D7" s="21"/>
      <c r="E7" s="17">
        <f t="shared" ref="E7:E15" si="0">IFERROR(D7/C7,0)</f>
        <v>0</v>
      </c>
      <c r="F7" s="23">
        <f>IFERROR(LOOKUP(E7,'Setup &amp; Assumptions'!$C$11:$C$14,'Setup &amp; Assumptions'!$D$11:$D$14),0)</f>
        <v>0</v>
      </c>
      <c r="G7" s="31">
        <f>D7*'Setup &amp; Assumptions'!$C$7</f>
        <v>0</v>
      </c>
      <c r="H7" s="32">
        <f t="shared" ref="H7:H15" si="1">G7*F7</f>
        <v>0</v>
      </c>
      <c r="I7" s="31">
        <f>H7*'Setup &amp; Assumptions'!$G$7*'AM Organic KPIs'!BL8</f>
        <v>0</v>
      </c>
      <c r="J7" s="31">
        <f>H7*'Setup &amp; Assumptions'!$G$8*'Media Buyer Paid KPIs'!AF8</f>
        <v>0</v>
      </c>
      <c r="K7" s="31">
        <f>H7*'Setup &amp; Assumptions'!$G$9*AVERAGE('AM Organic KPIs'!$BL$8:$BL$16,'Media Buyer Paid KPIs'!$AF$8:$AF$16,'Creative Team KPIs'!$AJ$8:$AJ$12,'Events &amp; Sponsorship KPIs'!$AN$8)</f>
        <v>0</v>
      </c>
      <c r="L7" s="31">
        <f>H7*'Setup &amp; Assumptions'!$G$10*'Creative Team KPIs'!$AJ$8</f>
        <v>0</v>
      </c>
      <c r="M7" s="31">
        <f>H7*'Setup &amp; Assumptions'!$G$11*IFERROR(VLOOKUP('Setup &amp; Assumptions'!M8,'Creative Team KPIs'!$B$8:$AJ$12,35,FALSE()),0)</f>
        <v>0</v>
      </c>
      <c r="N7" s="31">
        <f>H7*'Setup &amp; Assumptions'!$G$12*'Events &amp; Sponsorship KPIs'!$AN$8*IF('Setup &amp; Assumptions'!N8="Yes",1,0)</f>
        <v>0</v>
      </c>
      <c r="O7" s="31">
        <f>H7*'Setup &amp; Assumptions'!$G$13*'Creative Team KPIs'!$AJ$9</f>
        <v>0</v>
      </c>
      <c r="P7" s="33">
        <f>H7*'Setup &amp; Assumptions'!$G$14</f>
        <v>0</v>
      </c>
      <c r="Q7" s="32">
        <f t="shared" ref="Q7:Q15" si="2">SUM(I7:P7)</f>
        <v>0</v>
      </c>
      <c r="R7" s="34"/>
    </row>
    <row r="8" spans="2:18" x14ac:dyDescent="0.2">
      <c r="B8" s="2" t="s">
        <v>22</v>
      </c>
      <c r="C8" s="21">
        <v>1200000</v>
      </c>
      <c r="D8" s="21"/>
      <c r="E8" s="17">
        <f t="shared" si="0"/>
        <v>0</v>
      </c>
      <c r="F8" s="23">
        <f>IFERROR(LOOKUP(E8,'Setup &amp; Assumptions'!$C$11:$C$14,'Setup &amp; Assumptions'!$D$11:$D$14),0)</f>
        <v>0</v>
      </c>
      <c r="G8" s="31">
        <f>D8*'Setup &amp; Assumptions'!$C$7</f>
        <v>0</v>
      </c>
      <c r="H8" s="32">
        <f t="shared" si="1"/>
        <v>0</v>
      </c>
      <c r="I8" s="31">
        <f>H8*'Setup &amp; Assumptions'!$G$7*'AM Organic KPIs'!BL9</f>
        <v>0</v>
      </c>
      <c r="J8" s="31">
        <f>H8*'Setup &amp; Assumptions'!$G$8*'Media Buyer Paid KPIs'!AF9</f>
        <v>0</v>
      </c>
      <c r="K8" s="31">
        <f>H8*'Setup &amp; Assumptions'!$G$9*AVERAGE('AM Organic KPIs'!$BL$8:$BL$16,'Media Buyer Paid KPIs'!$AF$8:$AF$16,'Creative Team KPIs'!$AJ$8:$AJ$12,'Events &amp; Sponsorship KPIs'!$AN$8)</f>
        <v>0</v>
      </c>
      <c r="L8" s="31">
        <f>H8*'Setup &amp; Assumptions'!$G$10*'Creative Team KPIs'!$AJ$8</f>
        <v>0</v>
      </c>
      <c r="M8" s="31">
        <f>H8*'Setup &amp; Assumptions'!$G$11*IFERROR(VLOOKUP('Setup &amp; Assumptions'!M9,'Creative Team KPIs'!$B$8:$AJ$12,35,FALSE()),0)</f>
        <v>0</v>
      </c>
      <c r="N8" s="31">
        <f>H8*'Setup &amp; Assumptions'!$G$12*'Events &amp; Sponsorship KPIs'!$AN$8*IF('Setup &amp; Assumptions'!N9="Yes",1,0)</f>
        <v>0</v>
      </c>
      <c r="O8" s="31">
        <f>H8*'Setup &amp; Assumptions'!$G$13*'Creative Team KPIs'!$AJ$9</f>
        <v>0</v>
      </c>
      <c r="P8" s="33">
        <f>H8*'Setup &amp; Assumptions'!$G$14</f>
        <v>0</v>
      </c>
      <c r="Q8" s="32">
        <f t="shared" si="2"/>
        <v>0</v>
      </c>
      <c r="R8" s="34"/>
    </row>
    <row r="9" spans="2:18" x14ac:dyDescent="0.2">
      <c r="B9" s="2" t="s">
        <v>30</v>
      </c>
      <c r="C9" s="21">
        <v>2158296</v>
      </c>
      <c r="D9" s="21"/>
      <c r="E9" s="17">
        <f t="shared" si="0"/>
        <v>0</v>
      </c>
      <c r="F9" s="23">
        <f>IFERROR(LOOKUP(E9,'Setup &amp; Assumptions'!$C$11:$C$14,'Setup &amp; Assumptions'!$D$11:$D$14),0)</f>
        <v>0</v>
      </c>
      <c r="G9" s="31">
        <f>D9*'Setup &amp; Assumptions'!$C$7</f>
        <v>0</v>
      </c>
      <c r="H9" s="32">
        <f t="shared" si="1"/>
        <v>0</v>
      </c>
      <c r="I9" s="31">
        <f>H9*'Setup &amp; Assumptions'!$G$7*'AM Organic KPIs'!BL10</f>
        <v>0</v>
      </c>
      <c r="J9" s="31">
        <f>H9*'Setup &amp; Assumptions'!$G$8*'Media Buyer Paid KPIs'!AF10</f>
        <v>0</v>
      </c>
      <c r="K9" s="31">
        <f>H9*'Setup &amp; Assumptions'!$G$9*AVERAGE('AM Organic KPIs'!$BL$8:$BL$16,'Media Buyer Paid KPIs'!$AF$8:$AF$16,'Creative Team KPIs'!$AJ$8:$AJ$12,'Events &amp; Sponsorship KPIs'!$AN$8)</f>
        <v>0</v>
      </c>
      <c r="L9" s="31">
        <f>H9*'Setup &amp; Assumptions'!$G$10*'Creative Team KPIs'!$AJ$8</f>
        <v>0</v>
      </c>
      <c r="M9" s="31">
        <f>H9*'Setup &amp; Assumptions'!$G$11*IFERROR(VLOOKUP('Setup &amp; Assumptions'!M10,'Creative Team KPIs'!$B$8:$AJ$12,35,FALSE()),0)</f>
        <v>0</v>
      </c>
      <c r="N9" s="31">
        <f>H9*'Setup &amp; Assumptions'!$G$12*'Events &amp; Sponsorship KPIs'!$AN$8*IF('Setup &amp; Assumptions'!N10="Yes",1,0)</f>
        <v>0</v>
      </c>
      <c r="O9" s="31">
        <f>H9*'Setup &amp; Assumptions'!$G$13*'Creative Team KPIs'!$AJ$9</f>
        <v>0</v>
      </c>
      <c r="P9" s="33">
        <f>H9*'Setup &amp; Assumptions'!$G$14</f>
        <v>0</v>
      </c>
      <c r="Q9" s="32">
        <f t="shared" si="2"/>
        <v>0</v>
      </c>
      <c r="R9" s="34"/>
    </row>
    <row r="10" spans="2:18" x14ac:dyDescent="0.2">
      <c r="B10" s="2" t="s">
        <v>35</v>
      </c>
      <c r="C10" s="21">
        <v>2776147</v>
      </c>
      <c r="D10" s="21"/>
      <c r="E10" s="17">
        <f t="shared" si="0"/>
        <v>0</v>
      </c>
      <c r="F10" s="23">
        <f>IFERROR(LOOKUP(E10,'Setup &amp; Assumptions'!$C$11:$C$14,'Setup &amp; Assumptions'!$D$11:$D$14),0)</f>
        <v>0</v>
      </c>
      <c r="G10" s="31">
        <f>D10*'Setup &amp; Assumptions'!$C$7</f>
        <v>0</v>
      </c>
      <c r="H10" s="32">
        <f t="shared" si="1"/>
        <v>0</v>
      </c>
      <c r="I10" s="31">
        <f>H10*'Setup &amp; Assumptions'!$G$7*'AM Organic KPIs'!BL11</f>
        <v>0</v>
      </c>
      <c r="J10" s="31">
        <f>H10*'Setup &amp; Assumptions'!$G$8*'Media Buyer Paid KPIs'!AF11</f>
        <v>0</v>
      </c>
      <c r="K10" s="31">
        <f>H10*'Setup &amp; Assumptions'!$G$9*AVERAGE('AM Organic KPIs'!$BL$8:$BL$16,'Media Buyer Paid KPIs'!$AF$8:$AF$16,'Creative Team KPIs'!$AJ$8:$AJ$12,'Events &amp; Sponsorship KPIs'!$AN$8)</f>
        <v>0</v>
      </c>
      <c r="L10" s="31">
        <f>H10*'Setup &amp; Assumptions'!$G$10*'Creative Team KPIs'!$AJ$8</f>
        <v>0</v>
      </c>
      <c r="M10" s="31">
        <f>H10*'Setup &amp; Assumptions'!$G$11*IFERROR(VLOOKUP('Setup &amp; Assumptions'!M11,'Creative Team KPIs'!$B$8:$AJ$12,35,FALSE()),0)</f>
        <v>0</v>
      </c>
      <c r="N10" s="31">
        <f>H10*'Setup &amp; Assumptions'!$G$12*'Events &amp; Sponsorship KPIs'!$AN$8*IF('Setup &amp; Assumptions'!N11="Yes",1,0)</f>
        <v>0</v>
      </c>
      <c r="O10" s="31">
        <f>H10*'Setup &amp; Assumptions'!$G$13*'Creative Team KPIs'!$AJ$9</f>
        <v>0</v>
      </c>
      <c r="P10" s="33">
        <f>H10*'Setup &amp; Assumptions'!$G$14</f>
        <v>0</v>
      </c>
      <c r="Q10" s="32">
        <f t="shared" si="2"/>
        <v>0</v>
      </c>
      <c r="R10" s="34"/>
    </row>
    <row r="11" spans="2:18" x14ac:dyDescent="0.2">
      <c r="B11" s="2" t="s">
        <v>39</v>
      </c>
      <c r="C11" s="21">
        <v>1345634</v>
      </c>
      <c r="D11" s="21"/>
      <c r="E11" s="17">
        <f t="shared" si="0"/>
        <v>0</v>
      </c>
      <c r="F11" s="23">
        <f>IFERROR(LOOKUP(E11,'Setup &amp; Assumptions'!$C$11:$C$14,'Setup &amp; Assumptions'!$D$11:$D$14),0)</f>
        <v>0</v>
      </c>
      <c r="G11" s="31">
        <f>D11*'Setup &amp; Assumptions'!$C$7</f>
        <v>0</v>
      </c>
      <c r="H11" s="32">
        <f t="shared" si="1"/>
        <v>0</v>
      </c>
      <c r="I11" s="31">
        <f>H11*'Setup &amp; Assumptions'!$G$7*'AM Organic KPIs'!BL12</f>
        <v>0</v>
      </c>
      <c r="J11" s="31">
        <f>H11*'Setup &amp; Assumptions'!$G$8*'Media Buyer Paid KPIs'!AF12</f>
        <v>0</v>
      </c>
      <c r="K11" s="31">
        <f>H11*'Setup &amp; Assumptions'!$G$9*AVERAGE('AM Organic KPIs'!$BL$8:$BL$16,'Media Buyer Paid KPIs'!$AF$8:$AF$16,'Creative Team KPIs'!$AJ$8:$AJ$12,'Events &amp; Sponsorship KPIs'!$AN$8)</f>
        <v>0</v>
      </c>
      <c r="L11" s="31">
        <f>H11*'Setup &amp; Assumptions'!$G$10*'Creative Team KPIs'!$AJ$8</f>
        <v>0</v>
      </c>
      <c r="M11" s="31">
        <f>H11*'Setup &amp; Assumptions'!$G$11*IFERROR(VLOOKUP('Setup &amp; Assumptions'!M12,'Creative Team KPIs'!$B$8:$AJ$12,35,FALSE()),0)</f>
        <v>0</v>
      </c>
      <c r="N11" s="31">
        <f>H11*'Setup &amp; Assumptions'!$G$12*'Events &amp; Sponsorship KPIs'!$AN$8*IF('Setup &amp; Assumptions'!N12="Yes",1,0)</f>
        <v>0</v>
      </c>
      <c r="O11" s="31">
        <f>H11*'Setup &amp; Assumptions'!$G$13*'Creative Team KPIs'!$AJ$9</f>
        <v>0</v>
      </c>
      <c r="P11" s="33">
        <f>H11*'Setup &amp; Assumptions'!$G$14</f>
        <v>0</v>
      </c>
      <c r="Q11" s="32">
        <f t="shared" si="2"/>
        <v>0</v>
      </c>
      <c r="R11" s="34"/>
    </row>
    <row r="12" spans="2:18" x14ac:dyDescent="0.2">
      <c r="B12" s="2" t="s">
        <v>43</v>
      </c>
      <c r="C12" s="21">
        <v>2238994</v>
      </c>
      <c r="D12" s="21"/>
      <c r="E12" s="17">
        <f t="shared" si="0"/>
        <v>0</v>
      </c>
      <c r="F12" s="23">
        <f>IFERROR(LOOKUP(E12,'Setup &amp; Assumptions'!$C$11:$C$14,'Setup &amp; Assumptions'!$D$11:$D$14),0)</f>
        <v>0</v>
      </c>
      <c r="G12" s="31">
        <f>D12*'Setup &amp; Assumptions'!$C$7</f>
        <v>0</v>
      </c>
      <c r="H12" s="32">
        <f t="shared" si="1"/>
        <v>0</v>
      </c>
      <c r="I12" s="31">
        <f>H12*'Setup &amp; Assumptions'!$G$7*'AM Organic KPIs'!BL13</f>
        <v>0</v>
      </c>
      <c r="J12" s="31">
        <f>H12*'Setup &amp; Assumptions'!$G$8*'Media Buyer Paid KPIs'!AF13</f>
        <v>0</v>
      </c>
      <c r="K12" s="31">
        <f>H12*'Setup &amp; Assumptions'!$G$9*AVERAGE('AM Organic KPIs'!$BL$8:$BL$16,'Media Buyer Paid KPIs'!$AF$8:$AF$16,'Creative Team KPIs'!$AJ$8:$AJ$12,'Events &amp; Sponsorship KPIs'!$AN$8)</f>
        <v>0</v>
      </c>
      <c r="L12" s="31">
        <f>H12*'Setup &amp; Assumptions'!$G$10*'Creative Team KPIs'!$AJ$8</f>
        <v>0</v>
      </c>
      <c r="M12" s="31">
        <f>H12*'Setup &amp; Assumptions'!$G$11*IFERROR(VLOOKUP('Setup &amp; Assumptions'!M13,'Creative Team KPIs'!$B$8:$AJ$12,35,FALSE()),0)</f>
        <v>0</v>
      </c>
      <c r="N12" s="31">
        <f>H12*'Setup &amp; Assumptions'!$G$12*'Events &amp; Sponsorship KPIs'!$AN$8*IF('Setup &amp; Assumptions'!N13="Yes",1,0)</f>
        <v>0</v>
      </c>
      <c r="O12" s="31">
        <f>H12*'Setup &amp; Assumptions'!$G$13*'Creative Team KPIs'!$AJ$9</f>
        <v>0</v>
      </c>
      <c r="P12" s="33">
        <f>H12*'Setup &amp; Assumptions'!$G$14</f>
        <v>0</v>
      </c>
      <c r="Q12" s="32">
        <f t="shared" si="2"/>
        <v>0</v>
      </c>
      <c r="R12" s="34"/>
    </row>
    <row r="13" spans="2:18" x14ac:dyDescent="0.2">
      <c r="B13" s="2" t="s">
        <v>47</v>
      </c>
      <c r="C13" s="21">
        <v>830970</v>
      </c>
      <c r="D13" s="21"/>
      <c r="E13" s="17">
        <f t="shared" si="0"/>
        <v>0</v>
      </c>
      <c r="F13" s="23">
        <f>IFERROR(LOOKUP(E13,'Setup &amp; Assumptions'!$C$11:$C$14,'Setup &amp; Assumptions'!$D$11:$D$14),0)</f>
        <v>0</v>
      </c>
      <c r="G13" s="31">
        <f>D13*'Setup &amp; Assumptions'!$C$7</f>
        <v>0</v>
      </c>
      <c r="H13" s="32">
        <f t="shared" si="1"/>
        <v>0</v>
      </c>
      <c r="I13" s="31">
        <f>H13*'Setup &amp; Assumptions'!$G$7*'AM Organic KPIs'!BL14</f>
        <v>0</v>
      </c>
      <c r="J13" s="31">
        <f>H13*'Setup &amp; Assumptions'!$G$8*'Media Buyer Paid KPIs'!AF14</f>
        <v>0</v>
      </c>
      <c r="K13" s="31">
        <f>H13*'Setup &amp; Assumptions'!$G$9*AVERAGE('AM Organic KPIs'!$BL$8:$BL$16,'Media Buyer Paid KPIs'!$AF$8:$AF$16,'Creative Team KPIs'!$AJ$8:$AJ$12,'Events &amp; Sponsorship KPIs'!$AN$8)</f>
        <v>0</v>
      </c>
      <c r="L13" s="31">
        <f>H13*'Setup &amp; Assumptions'!$G$10*'Creative Team KPIs'!$AJ$8</f>
        <v>0</v>
      </c>
      <c r="M13" s="31">
        <f>H13*'Setup &amp; Assumptions'!$G$11*IFERROR(VLOOKUP('Setup &amp; Assumptions'!M14,'Creative Team KPIs'!$B$8:$AJ$12,35,FALSE()),0)</f>
        <v>0</v>
      </c>
      <c r="N13" s="31">
        <f>H13*'Setup &amp; Assumptions'!$G$12*'Events &amp; Sponsorship KPIs'!$AN$8*IF('Setup &amp; Assumptions'!N14="Yes",1,0)</f>
        <v>0</v>
      </c>
      <c r="O13" s="31">
        <f>H13*'Setup &amp; Assumptions'!$G$13*'Creative Team KPIs'!$AJ$9</f>
        <v>0</v>
      </c>
      <c r="P13" s="33">
        <f>H13*'Setup &amp; Assumptions'!$G$14</f>
        <v>0</v>
      </c>
      <c r="Q13" s="32">
        <f t="shared" si="2"/>
        <v>0</v>
      </c>
      <c r="R13" s="34"/>
    </row>
    <row r="14" spans="2:18" x14ac:dyDescent="0.2">
      <c r="B14" s="2" t="s">
        <v>49</v>
      </c>
      <c r="C14" s="21">
        <v>2338272</v>
      </c>
      <c r="D14" s="21"/>
      <c r="E14" s="17">
        <f t="shared" si="0"/>
        <v>0</v>
      </c>
      <c r="F14" s="23">
        <f>IFERROR(LOOKUP(E14,'Setup &amp; Assumptions'!$C$11:$C$14,'Setup &amp; Assumptions'!$D$11:$D$14),0)</f>
        <v>0</v>
      </c>
      <c r="G14" s="31">
        <f>D14*'Setup &amp; Assumptions'!$C$7</f>
        <v>0</v>
      </c>
      <c r="H14" s="32">
        <f t="shared" si="1"/>
        <v>0</v>
      </c>
      <c r="I14" s="31">
        <f>H14*'Setup &amp; Assumptions'!$G$7*'AM Organic KPIs'!BL15</f>
        <v>0</v>
      </c>
      <c r="J14" s="31">
        <f>H14*'Setup &amp; Assumptions'!$G$8*'Media Buyer Paid KPIs'!AF15</f>
        <v>0</v>
      </c>
      <c r="K14" s="31">
        <f>H14*'Setup &amp; Assumptions'!$G$9*AVERAGE('AM Organic KPIs'!$BL$8:$BL$16,'Media Buyer Paid KPIs'!$AF$8:$AF$16,'Creative Team KPIs'!$AJ$8:$AJ$12,'Events &amp; Sponsorship KPIs'!$AN$8)</f>
        <v>0</v>
      </c>
      <c r="L14" s="31">
        <f>H14*'Setup &amp; Assumptions'!$G$10*'Creative Team KPIs'!$AJ$8</f>
        <v>0</v>
      </c>
      <c r="M14" s="31">
        <f>H14*'Setup &amp; Assumptions'!$G$11*IFERROR(VLOOKUP('Setup &amp; Assumptions'!M15,'Creative Team KPIs'!$B$8:$AJ$12,35,FALSE()),0)</f>
        <v>0</v>
      </c>
      <c r="N14" s="31">
        <f>H14*'Setup &amp; Assumptions'!$G$12*'Events &amp; Sponsorship KPIs'!$AN$8*IF('Setup &amp; Assumptions'!N15="Yes",1,0)</f>
        <v>0</v>
      </c>
      <c r="O14" s="31">
        <f>H14*'Setup &amp; Assumptions'!$G$13*'Creative Team KPIs'!$AJ$9</f>
        <v>0</v>
      </c>
      <c r="P14" s="33">
        <f>H14*'Setup &amp; Assumptions'!$G$14</f>
        <v>0</v>
      </c>
      <c r="Q14" s="32">
        <f t="shared" si="2"/>
        <v>0</v>
      </c>
      <c r="R14" s="34"/>
    </row>
    <row r="15" spans="2:18" x14ac:dyDescent="0.2">
      <c r="B15" s="2" t="s">
        <v>50</v>
      </c>
      <c r="C15" s="21">
        <v>1300000</v>
      </c>
      <c r="D15" s="21"/>
      <c r="E15" s="17">
        <f t="shared" si="0"/>
        <v>0</v>
      </c>
      <c r="F15" s="23">
        <f>IFERROR(LOOKUP(E15,'Setup &amp; Assumptions'!$C$11:$C$14,'Setup &amp; Assumptions'!$D$11:$D$14),0)</f>
        <v>0</v>
      </c>
      <c r="G15" s="31">
        <f>D15*'Setup &amp; Assumptions'!$C$7</f>
        <v>0</v>
      </c>
      <c r="H15" s="32">
        <f t="shared" si="1"/>
        <v>0</v>
      </c>
      <c r="I15" s="31">
        <f>H15*'Setup &amp; Assumptions'!$G$7*'AM Organic KPIs'!BL16</f>
        <v>0</v>
      </c>
      <c r="J15" s="31">
        <f>H15*'Setup &amp; Assumptions'!$G$8*'Media Buyer Paid KPIs'!AF16</f>
        <v>0</v>
      </c>
      <c r="K15" s="31">
        <f>H15*'Setup &amp; Assumptions'!$G$9*AVERAGE('AM Organic KPIs'!$BL$8:$BL$16,'Media Buyer Paid KPIs'!$AF$8:$AF$16,'Creative Team KPIs'!$AJ$8:$AJ$12,'Events &amp; Sponsorship KPIs'!$AN$8)</f>
        <v>0</v>
      </c>
      <c r="L15" s="31">
        <f>H15*'Setup &amp; Assumptions'!$G$10*'Creative Team KPIs'!$AJ$8</f>
        <v>0</v>
      </c>
      <c r="M15" s="31">
        <f>H15*'Setup &amp; Assumptions'!$G$11*IFERROR(VLOOKUP('Setup &amp; Assumptions'!M16,'Creative Team KPIs'!$B$8:$AJ$12,35,FALSE()),0)</f>
        <v>0</v>
      </c>
      <c r="N15" s="31">
        <f>H15*'Setup &amp; Assumptions'!$G$12*'Events &amp; Sponsorship KPIs'!$AN$8*IF('Setup &amp; Assumptions'!N16="Yes",1,0)</f>
        <v>0</v>
      </c>
      <c r="O15" s="31">
        <f>H15*'Setup &amp; Assumptions'!$G$13*'Creative Team KPIs'!$AJ$9</f>
        <v>0</v>
      </c>
      <c r="P15" s="33">
        <f>H15*'Setup &amp; Assumptions'!$G$14</f>
        <v>0</v>
      </c>
      <c r="Q15" s="32">
        <f t="shared" si="2"/>
        <v>0</v>
      </c>
      <c r="R15" s="34"/>
    </row>
    <row r="16" spans="2:18" x14ac:dyDescent="0.2">
      <c r="B16" s="35" t="s">
        <v>183</v>
      </c>
      <c r="C16" s="36">
        <f>SUM(C7:C15)</f>
        <v>15988313</v>
      </c>
      <c r="D16" s="36">
        <f>SUM(D7:D15)</f>
        <v>0</v>
      </c>
      <c r="E16" s="10">
        <f>AVERAGE(E7:E15)</f>
        <v>0</v>
      </c>
      <c r="F16" s="10">
        <f>AVERAGE(F7:F15)</f>
        <v>0</v>
      </c>
      <c r="G16" s="32">
        <f t="shared" ref="G16:Q16" si="3">SUM(G7:G15)</f>
        <v>0</v>
      </c>
      <c r="H16" s="32">
        <f t="shared" si="3"/>
        <v>0</v>
      </c>
      <c r="I16" s="32">
        <f t="shared" si="3"/>
        <v>0</v>
      </c>
      <c r="J16" s="32">
        <f t="shared" si="3"/>
        <v>0</v>
      </c>
      <c r="K16" s="32">
        <f t="shared" si="3"/>
        <v>0</v>
      </c>
      <c r="L16" s="32">
        <f t="shared" si="3"/>
        <v>0</v>
      </c>
      <c r="M16" s="32">
        <f t="shared" si="3"/>
        <v>0</v>
      </c>
      <c r="N16" s="32">
        <f t="shared" si="3"/>
        <v>0</v>
      </c>
      <c r="O16" s="32">
        <f t="shared" si="3"/>
        <v>0</v>
      </c>
      <c r="P16" s="32">
        <f t="shared" si="3"/>
        <v>0</v>
      </c>
      <c r="Q16" s="32">
        <f t="shared" si="3"/>
        <v>0</v>
      </c>
    </row>
  </sheetData>
  <mergeCells count="4">
    <mergeCell ref="B2:R2"/>
    <mergeCell ref="B3:R3"/>
    <mergeCell ref="B5:H5"/>
    <mergeCell ref="I5:R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0"/>
  <sheetViews>
    <sheetView showGridLines="0" zoomScaleNormal="100" workbookViewId="0">
      <selection activeCell="D7" sqref="D7"/>
    </sheetView>
  </sheetViews>
  <sheetFormatPr baseColWidth="10" defaultColWidth="8.6640625" defaultRowHeight="15" x14ac:dyDescent="0.2"/>
  <cols>
    <col min="1" max="1" width="2" customWidth="1"/>
    <col min="2" max="3" width="22" customWidth="1"/>
    <col min="4" max="4" width="16" customWidth="1"/>
    <col min="5" max="6" width="22" customWidth="1"/>
  </cols>
  <sheetData>
    <row r="2" spans="2:6" ht="18" x14ac:dyDescent="0.2">
      <c r="B2" s="51" t="s">
        <v>184</v>
      </c>
      <c r="C2" s="51"/>
      <c r="D2" s="51"/>
      <c r="E2" s="51"/>
      <c r="F2" s="51"/>
    </row>
    <row r="3" spans="2:6" x14ac:dyDescent="0.2">
      <c r="B3" s="49" t="s">
        <v>185</v>
      </c>
      <c r="C3" s="49"/>
      <c r="D3" s="49"/>
      <c r="E3" s="49"/>
      <c r="F3" s="49"/>
    </row>
    <row r="5" spans="2:6" ht="21.75" customHeight="1" x14ac:dyDescent="0.2">
      <c r="B5" s="1" t="s">
        <v>156</v>
      </c>
      <c r="C5" s="1" t="s">
        <v>6</v>
      </c>
      <c r="D5" s="1" t="s">
        <v>186</v>
      </c>
      <c r="E5" s="1" t="s">
        <v>187</v>
      </c>
      <c r="F5" s="1" t="s">
        <v>188</v>
      </c>
    </row>
    <row r="6" spans="2:6" x14ac:dyDescent="0.2">
      <c r="B6" s="2" t="s">
        <v>58</v>
      </c>
      <c r="C6" s="8" t="s">
        <v>21</v>
      </c>
      <c r="D6" s="37" t="str">
        <f>"All 8"</f>
        <v>All 8</v>
      </c>
      <c r="E6" s="33">
        <f>SUM('Sales &amp; Commission'!K7:K15)</f>
        <v>0</v>
      </c>
      <c r="F6" s="32">
        <f t="shared" ref="F6:F19" si="0">E6*4</f>
        <v>0</v>
      </c>
    </row>
    <row r="7" spans="2:6" x14ac:dyDescent="0.2">
      <c r="B7" s="2" t="s">
        <v>61</v>
      </c>
      <c r="C7" s="8" t="s">
        <v>11</v>
      </c>
      <c r="D7" s="37">
        <f>COUNTIF('AM Organic KPIs'!C8:C16,B7)</f>
        <v>0</v>
      </c>
      <c r="E7" s="33">
        <f>SUMPRODUCT(('AM Organic KPIs'!C8:C16=B7)*'Sales &amp; Commission'!I7:I15)</f>
        <v>0</v>
      </c>
      <c r="F7" s="32">
        <f t="shared" si="0"/>
        <v>0</v>
      </c>
    </row>
    <row r="8" spans="2:6" x14ac:dyDescent="0.2">
      <c r="B8" s="2" t="s">
        <v>64</v>
      </c>
      <c r="C8" s="8" t="s">
        <v>11</v>
      </c>
      <c r="D8" s="37">
        <f>COUNTIF('AM Organic KPIs'!C8:C16,B8)</f>
        <v>0</v>
      </c>
      <c r="E8" s="33">
        <f>SUMPRODUCT(('AM Organic KPIs'!C8:C16=B8)*'Sales &amp; Commission'!I7:I15)</f>
        <v>0</v>
      </c>
      <c r="F8" s="32">
        <f t="shared" si="0"/>
        <v>0</v>
      </c>
    </row>
    <row r="9" spans="2:6" x14ac:dyDescent="0.2">
      <c r="B9" s="2" t="s">
        <v>67</v>
      </c>
      <c r="C9" s="8" t="s">
        <v>11</v>
      </c>
      <c r="D9" s="37">
        <f>COUNTIF('AM Organic KPIs'!C8:C16,B9)</f>
        <v>0</v>
      </c>
      <c r="E9" s="33">
        <f>SUMPRODUCT(('AM Organic KPIs'!C8:C16=B9)*'Sales &amp; Commission'!I7:I15)</f>
        <v>0</v>
      </c>
      <c r="F9" s="32">
        <f t="shared" si="0"/>
        <v>0</v>
      </c>
    </row>
    <row r="10" spans="2:6" x14ac:dyDescent="0.2">
      <c r="B10" s="2" t="s">
        <v>18</v>
      </c>
      <c r="C10" s="8" t="s">
        <v>189</v>
      </c>
      <c r="D10" s="37">
        <f>COUNTIF('Setup &amp; Assumptions'!$L$8:$L$16,B10)</f>
        <v>3</v>
      </c>
      <c r="E10" s="33">
        <f>SUMPRODUCT(('Setup &amp; Assumptions'!$L$8:$L$16=B10)*'Sales &amp; Commission'!J7:J15)</f>
        <v>0</v>
      </c>
      <c r="F10" s="32">
        <f t="shared" si="0"/>
        <v>0</v>
      </c>
    </row>
    <row r="11" spans="2:6" x14ac:dyDescent="0.2">
      <c r="B11" s="2" t="s">
        <v>31</v>
      </c>
      <c r="C11" s="8" t="s">
        <v>190</v>
      </c>
      <c r="D11" s="37">
        <f>COUNTIF('Setup &amp; Assumptions'!$L$8:$L$16,B11)</f>
        <v>2</v>
      </c>
      <c r="E11" s="33">
        <f>SUMPRODUCT(('Setup &amp; Assumptions'!$L$8:$L$16=B11)*'Sales &amp; Commission'!J7:J15)</f>
        <v>0</v>
      </c>
      <c r="F11" s="32">
        <f t="shared" si="0"/>
        <v>0</v>
      </c>
    </row>
    <row r="12" spans="2:6" x14ac:dyDescent="0.2">
      <c r="B12" s="2" t="s">
        <v>23</v>
      </c>
      <c r="C12" s="8" t="s">
        <v>190</v>
      </c>
      <c r="D12" s="37">
        <f>COUNTIF('Setup &amp; Assumptions'!$L$8:$L$16,B12)</f>
        <v>4</v>
      </c>
      <c r="E12" s="33">
        <f>SUMPRODUCT(('Setup &amp; Assumptions'!$L$8:$L$16=B12)*'Sales &amp; Commission'!J7:J15)</f>
        <v>0</v>
      </c>
      <c r="F12" s="32">
        <f t="shared" si="0"/>
        <v>0</v>
      </c>
    </row>
    <row r="13" spans="2:6" x14ac:dyDescent="0.2">
      <c r="B13" s="2" t="s">
        <v>19</v>
      </c>
      <c r="C13" s="8" t="s">
        <v>15</v>
      </c>
      <c r="D13" s="37">
        <f>COUNTIF('Setup &amp; Assumptions'!$M$8:$M$16,B13)</f>
        <v>4</v>
      </c>
      <c r="E13" s="33">
        <f>SUMPRODUCT(('Setup &amp; Assumptions'!$M$8:$M$16=B13)*'Sales &amp; Commission'!M7:M15)</f>
        <v>0</v>
      </c>
      <c r="F13" s="32">
        <f t="shared" si="0"/>
        <v>0</v>
      </c>
    </row>
    <row r="14" spans="2:6" x14ac:dyDescent="0.2">
      <c r="B14" s="2" t="s">
        <v>24</v>
      </c>
      <c r="C14" s="8" t="s">
        <v>15</v>
      </c>
      <c r="D14" s="37">
        <f>COUNTIF('Setup &amp; Assumptions'!$M$8:$M$16,B14)</f>
        <v>2</v>
      </c>
      <c r="E14" s="33">
        <f>SUMPRODUCT(('Setup &amp; Assumptions'!$M$8:$M$16=B14)*'Sales &amp; Commission'!M7:M15)</f>
        <v>0</v>
      </c>
      <c r="F14" s="32">
        <f t="shared" si="0"/>
        <v>0</v>
      </c>
    </row>
    <row r="15" spans="2:6" x14ac:dyDescent="0.2">
      <c r="B15" s="2" t="s">
        <v>32</v>
      </c>
      <c r="C15" s="8" t="s">
        <v>15</v>
      </c>
      <c r="D15" s="37">
        <f>COUNTIF('Setup &amp; Assumptions'!$M$8:$M$16,B15)</f>
        <v>3</v>
      </c>
      <c r="E15" s="33">
        <f>SUMPRODUCT(('Setup &amp; Assumptions'!$M$8:$M$16=B15)*'Sales &amp; Commission'!M7:M15)</f>
        <v>0</v>
      </c>
      <c r="F15" s="32">
        <f t="shared" si="0"/>
        <v>0</v>
      </c>
    </row>
    <row r="16" spans="2:6" x14ac:dyDescent="0.2">
      <c r="B16" s="2" t="s">
        <v>89</v>
      </c>
      <c r="C16" s="8" t="s">
        <v>41</v>
      </c>
      <c r="D16" s="37" t="str">
        <f>"All 8"</f>
        <v>All 8</v>
      </c>
      <c r="E16" s="33">
        <f>SUM('Sales &amp; Commission'!O7:O15)</f>
        <v>0</v>
      </c>
      <c r="F16" s="32">
        <f t="shared" si="0"/>
        <v>0</v>
      </c>
    </row>
    <row r="17" spans="2:6" x14ac:dyDescent="0.2">
      <c r="B17" s="2" t="s">
        <v>94</v>
      </c>
      <c r="C17" s="8" t="s">
        <v>28</v>
      </c>
      <c r="D17" s="37" t="str">
        <f>"All 8"</f>
        <v>All 8</v>
      </c>
      <c r="E17" s="33">
        <f>SUM('Sales &amp; Commission'!L7:L15)</f>
        <v>0</v>
      </c>
      <c r="F17" s="32">
        <f t="shared" si="0"/>
        <v>0</v>
      </c>
    </row>
    <row r="18" spans="2:6" x14ac:dyDescent="0.2">
      <c r="B18" s="2" t="s">
        <v>98</v>
      </c>
      <c r="C18" s="8" t="s">
        <v>37</v>
      </c>
      <c r="D18" s="37" t="str">
        <f>"Per event"</f>
        <v>Per event</v>
      </c>
      <c r="E18" s="33">
        <f>SUM('Sales &amp; Commission'!N7:N15)</f>
        <v>0</v>
      </c>
      <c r="F18" s="32">
        <f t="shared" si="0"/>
        <v>0</v>
      </c>
    </row>
    <row r="19" spans="2:6" ht="16" x14ac:dyDescent="0.2">
      <c r="B19" s="2" t="s">
        <v>191</v>
      </c>
      <c r="C19" s="8" t="s">
        <v>192</v>
      </c>
      <c r="D19" s="38" t="s">
        <v>193</v>
      </c>
      <c r="E19" s="33">
        <f>SUM('Sales &amp; Commission'!P7:P15)</f>
        <v>0</v>
      </c>
      <c r="F19" s="32">
        <f t="shared" si="0"/>
        <v>0</v>
      </c>
    </row>
    <row r="20" spans="2:6" x14ac:dyDescent="0.2">
      <c r="B20" s="39" t="s">
        <v>48</v>
      </c>
      <c r="C20" s="40"/>
      <c r="D20" s="40"/>
      <c r="E20" s="41">
        <f>SUM(E6:E19)</f>
        <v>0</v>
      </c>
      <c r="F20" s="41">
        <f>SUM(F6:F19)</f>
        <v>0</v>
      </c>
    </row>
  </sheetData>
  <mergeCells count="2">
    <mergeCell ref="B2:F2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43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8" customWidth="1"/>
    <col min="3" max="4" width="50" customWidth="1"/>
    <col min="5" max="5" width="30" customWidth="1"/>
    <col min="6" max="6" width="4" customWidth="1"/>
  </cols>
  <sheetData>
    <row r="2" spans="2:6" ht="20" x14ac:dyDescent="0.2">
      <c r="B2" s="48" t="s">
        <v>194</v>
      </c>
      <c r="C2" s="48"/>
      <c r="D2" s="48"/>
      <c r="E2" s="48"/>
      <c r="F2" s="48"/>
    </row>
    <row r="3" spans="2:6" x14ac:dyDescent="0.2">
      <c r="B3" s="49" t="s">
        <v>195</v>
      </c>
      <c r="C3" s="49"/>
      <c r="D3" s="49"/>
      <c r="E3" s="49"/>
      <c r="F3" s="49"/>
    </row>
    <row r="5" spans="2:6" ht="24" customHeight="1" x14ac:dyDescent="0.2">
      <c r="B5" s="54" t="s">
        <v>196</v>
      </c>
      <c r="C5" s="54"/>
      <c r="D5" s="54"/>
      <c r="E5" s="54"/>
      <c r="F5" s="54"/>
    </row>
    <row r="6" spans="2:6" x14ac:dyDescent="0.2">
      <c r="B6" s="42" t="s">
        <v>197</v>
      </c>
      <c r="C6" s="42" t="s">
        <v>198</v>
      </c>
      <c r="D6" s="42" t="s">
        <v>199</v>
      </c>
      <c r="E6" s="42" t="s">
        <v>200</v>
      </c>
      <c r="F6" s="43"/>
    </row>
    <row r="7" spans="2:6" ht="36" customHeight="1" x14ac:dyDescent="0.2">
      <c r="B7" s="44" t="s">
        <v>201</v>
      </c>
      <c r="C7" s="44" t="s">
        <v>202</v>
      </c>
      <c r="D7" s="44" t="s">
        <v>203</v>
      </c>
      <c r="E7" s="44" t="s">
        <v>204</v>
      </c>
      <c r="F7" s="43"/>
    </row>
    <row r="8" spans="2:6" ht="36" customHeight="1" x14ac:dyDescent="0.2">
      <c r="B8" s="44" t="s">
        <v>205</v>
      </c>
      <c r="C8" s="44" t="s">
        <v>206</v>
      </c>
      <c r="D8" s="44" t="s">
        <v>207</v>
      </c>
      <c r="E8" s="44" t="s">
        <v>208</v>
      </c>
      <c r="F8" s="43"/>
    </row>
    <row r="9" spans="2:6" ht="36" customHeight="1" x14ac:dyDescent="0.2">
      <c r="B9" s="44" t="s">
        <v>103</v>
      </c>
      <c r="C9" s="44" t="s">
        <v>209</v>
      </c>
      <c r="D9" s="44" t="s">
        <v>210</v>
      </c>
      <c r="E9" s="44" t="s">
        <v>211</v>
      </c>
      <c r="F9" s="43"/>
    </row>
    <row r="10" spans="2:6" ht="36" customHeight="1" x14ac:dyDescent="0.2">
      <c r="B10" s="43"/>
      <c r="C10" s="43"/>
      <c r="D10" s="43"/>
      <c r="E10" s="43"/>
      <c r="F10" s="43"/>
    </row>
    <row r="11" spans="2:6" ht="36" customHeight="1" x14ac:dyDescent="0.2">
      <c r="B11" s="43"/>
      <c r="C11" s="43"/>
      <c r="D11" s="43"/>
      <c r="E11" s="43"/>
      <c r="F11" s="43"/>
    </row>
    <row r="12" spans="2:6" ht="36" customHeight="1" x14ac:dyDescent="0.2">
      <c r="B12" s="54" t="s">
        <v>212</v>
      </c>
      <c r="C12" s="54"/>
      <c r="D12" s="54"/>
      <c r="E12" s="54"/>
      <c r="F12" s="54"/>
    </row>
    <row r="13" spans="2:6" ht="36" customHeight="1" x14ac:dyDescent="0.2">
      <c r="B13" s="42" t="s">
        <v>197</v>
      </c>
      <c r="C13" s="42" t="s">
        <v>198</v>
      </c>
      <c r="D13" s="42" t="s">
        <v>199</v>
      </c>
      <c r="E13" s="42" t="s">
        <v>200</v>
      </c>
      <c r="F13" s="43"/>
    </row>
    <row r="14" spans="2:6" ht="36" customHeight="1" x14ac:dyDescent="0.2">
      <c r="B14" s="44" t="s">
        <v>213</v>
      </c>
      <c r="C14" s="44" t="s">
        <v>214</v>
      </c>
      <c r="D14" s="44" t="s">
        <v>215</v>
      </c>
      <c r="E14" s="44" t="s">
        <v>216</v>
      </c>
      <c r="F14" s="43"/>
    </row>
    <row r="15" spans="2:6" ht="36" customHeight="1" x14ac:dyDescent="0.2">
      <c r="B15" s="44" t="s">
        <v>217</v>
      </c>
      <c r="C15" s="44" t="s">
        <v>218</v>
      </c>
      <c r="D15" s="44" t="s">
        <v>219</v>
      </c>
      <c r="E15" s="44" t="s">
        <v>220</v>
      </c>
      <c r="F15" s="43"/>
    </row>
    <row r="16" spans="2:6" ht="36" customHeight="1" x14ac:dyDescent="0.2">
      <c r="B16" s="44" t="s">
        <v>150</v>
      </c>
      <c r="C16" s="44" t="s">
        <v>221</v>
      </c>
      <c r="D16" s="44" t="s">
        <v>222</v>
      </c>
      <c r="E16" s="44" t="s">
        <v>223</v>
      </c>
      <c r="F16" s="43"/>
    </row>
    <row r="17" spans="2:6" ht="36" customHeight="1" x14ac:dyDescent="0.2">
      <c r="B17" s="44" t="s">
        <v>224</v>
      </c>
      <c r="C17" s="44" t="s">
        <v>225</v>
      </c>
      <c r="D17" s="44" t="s">
        <v>226</v>
      </c>
      <c r="E17" s="44" t="s">
        <v>227</v>
      </c>
      <c r="F17" s="43"/>
    </row>
    <row r="18" spans="2:6" ht="36" customHeight="1" x14ac:dyDescent="0.2">
      <c r="B18" s="44" t="s">
        <v>153</v>
      </c>
      <c r="C18" s="44" t="s">
        <v>228</v>
      </c>
      <c r="D18" s="44" t="s">
        <v>229</v>
      </c>
      <c r="E18" s="44" t="s">
        <v>230</v>
      </c>
      <c r="F18" s="43"/>
    </row>
    <row r="19" spans="2:6" ht="36" customHeight="1" x14ac:dyDescent="0.2">
      <c r="B19" s="44" t="s">
        <v>231</v>
      </c>
      <c r="C19" s="44" t="s">
        <v>232</v>
      </c>
      <c r="D19" s="44" t="s">
        <v>233</v>
      </c>
      <c r="E19" s="44" t="s">
        <v>234</v>
      </c>
      <c r="F19" s="43"/>
    </row>
    <row r="20" spans="2:6" ht="36" customHeight="1" x14ac:dyDescent="0.2">
      <c r="B20" s="43"/>
      <c r="C20" s="43"/>
      <c r="D20" s="43"/>
      <c r="E20" s="43"/>
      <c r="F20" s="43"/>
    </row>
    <row r="21" spans="2:6" ht="36" customHeight="1" x14ac:dyDescent="0.2">
      <c r="B21" s="43"/>
      <c r="C21" s="43"/>
      <c r="D21" s="43"/>
      <c r="E21" s="43"/>
      <c r="F21" s="43"/>
    </row>
    <row r="22" spans="2:6" ht="36" customHeight="1" x14ac:dyDescent="0.2">
      <c r="B22" s="54" t="s">
        <v>235</v>
      </c>
      <c r="C22" s="54"/>
      <c r="D22" s="54"/>
      <c r="E22" s="54"/>
      <c r="F22" s="54"/>
    </row>
    <row r="23" spans="2:6" ht="36" customHeight="1" x14ac:dyDescent="0.2">
      <c r="B23" s="42" t="s">
        <v>197</v>
      </c>
      <c r="C23" s="42" t="s">
        <v>198</v>
      </c>
      <c r="D23" s="42" t="s">
        <v>199</v>
      </c>
      <c r="E23" s="42" t="s">
        <v>200</v>
      </c>
      <c r="F23" s="43"/>
    </row>
    <row r="24" spans="2:6" ht="36" customHeight="1" x14ac:dyDescent="0.2">
      <c r="B24" s="44" t="s">
        <v>236</v>
      </c>
      <c r="C24" s="44" t="s">
        <v>237</v>
      </c>
      <c r="D24" s="44" t="s">
        <v>238</v>
      </c>
      <c r="E24" s="44" t="s">
        <v>239</v>
      </c>
      <c r="F24" s="43"/>
    </row>
    <row r="25" spans="2:6" ht="36" customHeight="1" x14ac:dyDescent="0.2">
      <c r="B25" s="44" t="s">
        <v>240</v>
      </c>
      <c r="C25" s="44" t="s">
        <v>241</v>
      </c>
      <c r="D25" s="44" t="s">
        <v>242</v>
      </c>
      <c r="E25" s="44" t="s">
        <v>243</v>
      </c>
      <c r="F25" s="43"/>
    </row>
    <row r="26" spans="2:6" ht="36" customHeight="1" x14ac:dyDescent="0.2">
      <c r="B26" s="44" t="s">
        <v>244</v>
      </c>
      <c r="C26" s="44" t="s">
        <v>245</v>
      </c>
      <c r="D26" s="44" t="s">
        <v>246</v>
      </c>
      <c r="E26" s="44" t="s">
        <v>247</v>
      </c>
      <c r="F26" s="43"/>
    </row>
    <row r="27" spans="2:6" ht="36" customHeight="1" x14ac:dyDescent="0.2">
      <c r="B27" s="44" t="s">
        <v>248</v>
      </c>
      <c r="C27" s="44" t="s">
        <v>249</v>
      </c>
      <c r="D27" s="44" t="s">
        <v>250</v>
      </c>
      <c r="E27" s="44" t="s">
        <v>251</v>
      </c>
      <c r="F27" s="43"/>
    </row>
    <row r="28" spans="2:6" ht="36" customHeight="1" x14ac:dyDescent="0.2">
      <c r="B28" s="43"/>
      <c r="C28" s="43"/>
      <c r="D28" s="43"/>
      <c r="E28" s="43"/>
      <c r="F28" s="43"/>
    </row>
    <row r="29" spans="2:6" ht="36" customHeight="1" x14ac:dyDescent="0.2">
      <c r="B29" s="54" t="s">
        <v>252</v>
      </c>
      <c r="C29" s="54"/>
      <c r="D29" s="54"/>
      <c r="E29" s="54"/>
      <c r="F29" s="54"/>
    </row>
    <row r="30" spans="2:6" ht="36" customHeight="1" x14ac:dyDescent="0.2">
      <c r="B30" s="42" t="s">
        <v>253</v>
      </c>
      <c r="C30" s="42" t="s">
        <v>198</v>
      </c>
      <c r="D30" s="43"/>
      <c r="E30" s="43"/>
      <c r="F30" s="43"/>
    </row>
    <row r="31" spans="2:6" ht="36" customHeight="1" x14ac:dyDescent="0.2">
      <c r="B31" s="44" t="s">
        <v>254</v>
      </c>
      <c r="C31" s="44" t="s">
        <v>255</v>
      </c>
      <c r="D31" s="43"/>
      <c r="E31" s="43"/>
      <c r="F31" s="43"/>
    </row>
    <row r="32" spans="2:6" ht="36" customHeight="1" x14ac:dyDescent="0.2">
      <c r="B32" s="44" t="s">
        <v>256</v>
      </c>
      <c r="C32" s="44" t="s">
        <v>257</v>
      </c>
      <c r="D32" s="43"/>
      <c r="E32" s="43"/>
      <c r="F32" s="43"/>
    </row>
    <row r="33" spans="2:6" ht="36" customHeight="1" x14ac:dyDescent="0.2">
      <c r="B33" s="44" t="s">
        <v>258</v>
      </c>
      <c r="C33" s="44" t="s">
        <v>259</v>
      </c>
      <c r="D33" s="43"/>
      <c r="E33" s="43"/>
      <c r="F33" s="43"/>
    </row>
    <row r="34" spans="2:6" ht="36" customHeight="1" x14ac:dyDescent="0.2">
      <c r="B34" s="44" t="s">
        <v>260</v>
      </c>
      <c r="C34" s="44" t="s">
        <v>261</v>
      </c>
      <c r="D34" s="43"/>
      <c r="E34" s="43"/>
      <c r="F34" s="43"/>
    </row>
    <row r="35" spans="2:6" ht="36" customHeight="1" x14ac:dyDescent="0.2">
      <c r="B35" s="43"/>
      <c r="C35" s="43"/>
      <c r="D35" s="43"/>
      <c r="E35" s="43"/>
      <c r="F35" s="43"/>
    </row>
    <row r="36" spans="2:6" ht="36" customHeight="1" x14ac:dyDescent="0.2">
      <c r="B36" s="54" t="s">
        <v>262</v>
      </c>
      <c r="C36" s="54"/>
      <c r="D36" s="54"/>
      <c r="E36" s="54"/>
      <c r="F36" s="54"/>
    </row>
    <row r="37" spans="2:6" ht="36" customHeight="1" x14ac:dyDescent="0.2">
      <c r="B37" s="42" t="s">
        <v>263</v>
      </c>
      <c r="C37" s="42" t="s">
        <v>264</v>
      </c>
      <c r="D37" s="43"/>
      <c r="E37" s="43"/>
      <c r="F37" s="43"/>
    </row>
    <row r="38" spans="2:6" ht="36" customHeight="1" x14ac:dyDescent="0.2">
      <c r="B38" s="44" t="s">
        <v>265</v>
      </c>
      <c r="C38" s="44" t="s">
        <v>266</v>
      </c>
      <c r="D38" s="43"/>
      <c r="E38" s="43"/>
      <c r="F38" s="43"/>
    </row>
    <row r="39" spans="2:6" ht="36" customHeight="1" x14ac:dyDescent="0.2">
      <c r="B39" s="44" t="s">
        <v>267</v>
      </c>
      <c r="C39" s="44" t="s">
        <v>268</v>
      </c>
      <c r="D39" s="43"/>
      <c r="E39" s="43"/>
      <c r="F39" s="43"/>
    </row>
    <row r="40" spans="2:6" ht="36" customHeight="1" x14ac:dyDescent="0.2">
      <c r="B40" s="44" t="s">
        <v>269</v>
      </c>
      <c r="C40" s="44" t="s">
        <v>98</v>
      </c>
      <c r="D40" s="43"/>
      <c r="E40" s="43"/>
      <c r="F40" s="43"/>
    </row>
    <row r="41" spans="2:6" ht="36" customHeight="1" x14ac:dyDescent="0.2">
      <c r="B41" s="44" t="s">
        <v>270</v>
      </c>
      <c r="C41" s="44" t="s">
        <v>58</v>
      </c>
      <c r="D41" s="43"/>
      <c r="E41" s="43"/>
      <c r="F41" s="43"/>
    </row>
    <row r="42" spans="2:6" ht="36" customHeight="1" x14ac:dyDescent="0.2">
      <c r="B42" s="44" t="s">
        <v>271</v>
      </c>
      <c r="C42" s="44" t="s">
        <v>272</v>
      </c>
      <c r="D42" s="43"/>
      <c r="E42" s="43"/>
      <c r="F42" s="43"/>
    </row>
    <row r="43" spans="2:6" ht="36" customHeight="1" x14ac:dyDescent="0.2">
      <c r="B43" s="43"/>
      <c r="C43" s="43"/>
      <c r="D43" s="43"/>
      <c r="E43" s="43"/>
      <c r="F43" s="43"/>
    </row>
  </sheetData>
  <mergeCells count="7">
    <mergeCell ref="B29:F29"/>
    <mergeCell ref="B36:F36"/>
    <mergeCell ref="B2:F2"/>
    <mergeCell ref="B3:F3"/>
    <mergeCell ref="B5:F5"/>
    <mergeCell ref="B12:F12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 &amp; Assumptions</vt:lpstr>
      <vt:lpstr>AM Organic KPIs</vt:lpstr>
      <vt:lpstr>Media Buyer Paid KPIs</vt:lpstr>
      <vt:lpstr>Creative Team KPIs</vt:lpstr>
      <vt:lpstr>Events &amp; Sponsorship KPIs</vt:lpstr>
      <vt:lpstr>Sales &amp; Commission</vt:lpstr>
      <vt:lpstr>Commission Summary</vt:lpstr>
      <vt:lpstr>Q3 Plans &amp;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Narrative Marketing</cp:lastModifiedBy>
  <cp:revision>0</cp:revision>
  <dcterms:created xsi:type="dcterms:W3CDTF">2026-05-19T10:37:38Z</dcterms:created>
  <dcterms:modified xsi:type="dcterms:W3CDTF">2026-07-15T14:43:27Z</dcterms:modified>
  <dc:language>en-US</dc:language>
</cp:coreProperties>
</file>